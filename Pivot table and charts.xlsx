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xr:revisionPtr revIDLastSave="0" documentId="8_{642A9890-C200-4732-A7A1-A9A7C2E1EED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DASHBOARD" sheetId="2" r:id="rId2"/>
  </sheets>
  <definedNames>
    <definedName name="Slicer_Product">#N/A</definedName>
  </definedNames>
  <calcPr calcId="191028"/>
  <pivotCaches>
    <pivotCache cacheId="729" r:id="rId3"/>
    <pivotCache cacheId="730" r:id="rId4"/>
    <pivotCache cacheId="731" r:id="rId5"/>
    <pivotCache cacheId="732" r:id="rId6"/>
    <pivotCache cacheId="733" r:id="rId7"/>
    <pivotCache cacheId="734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0" i="1" l="1"/>
  <c r="O170" i="1"/>
  <c r="N170" i="1"/>
  <c r="M170" i="1"/>
  <c r="L170" i="1"/>
  <c r="K170" i="1"/>
  <c r="J170" i="1"/>
  <c r="P169" i="1"/>
  <c r="O169" i="1"/>
  <c r="N169" i="1"/>
  <c r="M169" i="1"/>
  <c r="L169" i="1"/>
  <c r="K169" i="1"/>
  <c r="J169" i="1"/>
  <c r="P168" i="1"/>
  <c r="O168" i="1"/>
  <c r="N168" i="1"/>
  <c r="M168" i="1"/>
  <c r="L168" i="1"/>
  <c r="K168" i="1"/>
  <c r="J168" i="1"/>
  <c r="P167" i="1"/>
  <c r="O167" i="1"/>
  <c r="N167" i="1"/>
  <c r="M167" i="1"/>
  <c r="L167" i="1"/>
  <c r="K167" i="1"/>
  <c r="J167" i="1"/>
  <c r="P166" i="1"/>
  <c r="O166" i="1"/>
  <c r="N166" i="1"/>
  <c r="M166" i="1"/>
  <c r="L166" i="1"/>
  <c r="K166" i="1"/>
  <c r="J166" i="1"/>
  <c r="P165" i="1"/>
  <c r="O165" i="1"/>
  <c r="N165" i="1"/>
  <c r="M165" i="1"/>
  <c r="L165" i="1"/>
  <c r="K165" i="1"/>
  <c r="J165" i="1"/>
  <c r="P164" i="1"/>
  <c r="O164" i="1"/>
  <c r="N164" i="1"/>
  <c r="M164" i="1"/>
  <c r="L164" i="1"/>
  <c r="K164" i="1"/>
  <c r="J164" i="1"/>
  <c r="P163" i="1"/>
  <c r="O163" i="1"/>
  <c r="N163" i="1"/>
  <c r="M163" i="1"/>
  <c r="L163" i="1"/>
  <c r="K163" i="1"/>
  <c r="J163" i="1"/>
  <c r="P162" i="1"/>
  <c r="O162" i="1"/>
  <c r="N162" i="1"/>
  <c r="M162" i="1"/>
  <c r="L162" i="1"/>
  <c r="K162" i="1"/>
  <c r="J162" i="1"/>
  <c r="P161" i="1"/>
  <c r="O161" i="1"/>
  <c r="N161" i="1"/>
  <c r="M161" i="1"/>
  <c r="L161" i="1"/>
  <c r="K161" i="1"/>
  <c r="J161" i="1"/>
  <c r="P160" i="1"/>
  <c r="O160" i="1"/>
  <c r="N160" i="1"/>
  <c r="M160" i="1"/>
  <c r="L160" i="1"/>
  <c r="K160" i="1"/>
  <c r="J160" i="1"/>
  <c r="P159" i="1"/>
  <c r="O159" i="1"/>
  <c r="N159" i="1"/>
  <c r="M159" i="1"/>
  <c r="L159" i="1"/>
  <c r="K159" i="1"/>
  <c r="J159" i="1"/>
  <c r="P158" i="1"/>
  <c r="O158" i="1"/>
  <c r="N158" i="1"/>
  <c r="M158" i="1"/>
  <c r="L158" i="1"/>
  <c r="K158" i="1"/>
  <c r="J158" i="1"/>
  <c r="P157" i="1"/>
  <c r="O157" i="1"/>
  <c r="N157" i="1"/>
  <c r="M157" i="1"/>
  <c r="L157" i="1"/>
  <c r="K157" i="1"/>
  <c r="J157" i="1"/>
  <c r="P156" i="1"/>
  <c r="O156" i="1"/>
  <c r="N156" i="1"/>
  <c r="M156" i="1"/>
  <c r="L156" i="1"/>
  <c r="K156" i="1"/>
  <c r="J156" i="1"/>
  <c r="P155" i="1"/>
  <c r="O155" i="1"/>
  <c r="N155" i="1"/>
  <c r="M155" i="1"/>
  <c r="L155" i="1"/>
  <c r="K155" i="1"/>
  <c r="J155" i="1"/>
  <c r="P154" i="1"/>
  <c r="O154" i="1"/>
  <c r="N154" i="1"/>
  <c r="M154" i="1"/>
  <c r="L154" i="1"/>
  <c r="K154" i="1"/>
  <c r="J154" i="1"/>
  <c r="P153" i="1"/>
  <c r="O153" i="1"/>
  <c r="N153" i="1"/>
  <c r="M153" i="1"/>
  <c r="L153" i="1"/>
  <c r="K153" i="1"/>
  <c r="J153" i="1"/>
  <c r="P152" i="1"/>
  <c r="O152" i="1"/>
  <c r="N152" i="1"/>
  <c r="M152" i="1"/>
  <c r="L152" i="1"/>
  <c r="K152" i="1"/>
  <c r="J152" i="1"/>
  <c r="P151" i="1"/>
  <c r="O151" i="1"/>
  <c r="N151" i="1"/>
  <c r="M151" i="1"/>
  <c r="L151" i="1"/>
  <c r="K151" i="1"/>
  <c r="J151" i="1"/>
  <c r="P150" i="1"/>
  <c r="O150" i="1"/>
  <c r="N150" i="1"/>
  <c r="M150" i="1"/>
  <c r="L150" i="1"/>
  <c r="K150" i="1"/>
  <c r="J150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</calcChain>
</file>

<file path=xl/sharedStrings.xml><?xml version="1.0" encoding="utf-8"?>
<sst xmlns="http://schemas.openxmlformats.org/spreadsheetml/2006/main" count="396" uniqueCount="39">
  <si>
    <t>Q.2</t>
  </si>
  <si>
    <t>Create a PivotTable to show Total Sales by Region.</t>
  </si>
  <si>
    <t>Date</t>
  </si>
  <si>
    <t>Region</t>
  </si>
  <si>
    <t>Product</t>
  </si>
  <si>
    <t>Sales</t>
  </si>
  <si>
    <t>Quantity</t>
  </si>
  <si>
    <t>West</t>
  </si>
  <si>
    <t>Mangoes</t>
  </si>
  <si>
    <t>South</t>
  </si>
  <si>
    <t>Oranges</t>
  </si>
  <si>
    <t>Apples</t>
  </si>
  <si>
    <t>Ans.</t>
  </si>
  <si>
    <t>Sum of Sales</t>
  </si>
  <si>
    <t>East</t>
  </si>
  <si>
    <t>North</t>
  </si>
  <si>
    <t>Grand Total</t>
  </si>
  <si>
    <t>Q.3</t>
  </si>
  <si>
    <t>Apply Conditional Formatting to highlight sales greater than 400.</t>
  </si>
  <si>
    <t>Ans</t>
  </si>
  <si>
    <t>Q.5</t>
  </si>
  <si>
    <t>Create a PivotChart showing Monthly Sales Trend.</t>
  </si>
  <si>
    <t>MONTH</t>
  </si>
  <si>
    <t>2024-01</t>
  </si>
  <si>
    <t>2024-02</t>
  </si>
  <si>
    <t>2024-03</t>
  </si>
  <si>
    <t>2024-04</t>
  </si>
  <si>
    <t>2024-05</t>
  </si>
  <si>
    <t>2024-06</t>
  </si>
  <si>
    <t>Q.6</t>
  </si>
  <si>
    <t>Use a Slicer to filter data by Product and observe changes in sales.</t>
  </si>
  <si>
    <t>Q.8</t>
  </si>
  <si>
    <t>Sales by Region (PivotTable + Chart)</t>
  </si>
  <si>
    <t>Q.9</t>
  </si>
  <si>
    <t>Group dates in the PivotTable into Months and calculate the average sales per month.</t>
  </si>
  <si>
    <t>Average of Sales</t>
  </si>
  <si>
    <t>Q.10</t>
  </si>
  <si>
    <t>Combine Apples and Oranges into one group called Fruits and compare its sales with other products.</t>
  </si>
  <si>
    <t>Q.8.        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</si>
</sst>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b/>
      <sz val="11"/>
      <color theme="1"/>
      <name val="Aptos Narrow"/>
      <family val="2"/>
      <scheme val="minor"/>
    </font>
    <font>
      <b/>
      <sz val="8"/>
      <color rgb="FF000000"/>
      <name val="Aptos Narrow"/>
      <scheme val="minor"/>
    </font>
    <font>
      <sz val="8"/>
      <color rgb="FF000000"/>
      <name val="Helvetica"/>
      <charset val="1"/>
    </font>
    <font>
      <b/>
      <sz val="12"/>
      <color theme="1"/>
      <name val="Book Antiqua"/>
    </font>
    <font>
      <b/>
      <sz val="11"/>
      <color theme="1"/>
      <name val="Book Antiqua"/>
    </font>
    <font>
      <sz val="11"/>
      <color theme="0"/>
      <name val="Aptos Narrow"/>
      <family val="2"/>
      <scheme val="minor"/>
    </font>
    <font>
      <b/>
      <sz val="8"/>
      <color rgb="FF000000"/>
      <name val="Helvetica"/>
      <charset val="1"/>
    </font>
    <font>
      <sz val="11"/>
      <color theme="1"/>
      <name val="Book Antiqua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22" fontId="2" fillId="0" borderId="3" xfId="0" applyNumberFormat="1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22" fontId="2" fillId="0" borderId="6" xfId="0" applyNumberFormat="1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0" fillId="0" borderId="0" xfId="0" pivotButton="1"/>
    <xf numFmtId="0" fontId="0" fillId="0" borderId="0" xfId="0" applyNumberFormat="1"/>
    <xf numFmtId="0" fontId="1" fillId="0" borderId="9" xfId="0" applyFont="1" applyBorder="1" applyAlignment="1">
      <alignment readingOrder="1"/>
    </xf>
    <xf numFmtId="0" fontId="0" fillId="0" borderId="1" xfId="0" applyBorder="1"/>
    <xf numFmtId="0" fontId="3" fillId="0" borderId="1" xfId="0" applyFont="1" applyBorder="1"/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1" fillId="2" borderId="2" xfId="0" applyFont="1" applyFill="1" applyBorder="1" applyAlignment="1">
      <alignment readingOrder="1"/>
    </xf>
    <xf numFmtId="0" fontId="4" fillId="0" borderId="10" xfId="0" applyFont="1" applyBorder="1" applyAlignment="1">
      <alignment wrapText="1"/>
    </xf>
    <xf numFmtId="0" fontId="1" fillId="0" borderId="11" xfId="0" applyFont="1" applyBorder="1" applyAlignment="1">
      <alignment readingOrder="1"/>
    </xf>
    <xf numFmtId="0" fontId="2" fillId="0" borderId="12" xfId="0" applyFont="1" applyBorder="1" applyAlignment="1">
      <alignment readingOrder="1"/>
    </xf>
    <xf numFmtId="0" fontId="2" fillId="0" borderId="13" xfId="0" applyFont="1" applyBorder="1" applyAlignment="1">
      <alignment readingOrder="1"/>
    </xf>
    <xf numFmtId="0" fontId="0" fillId="0" borderId="14" xfId="0" applyBorder="1" applyAlignment="1">
      <alignment vertical="top"/>
    </xf>
    <xf numFmtId="0" fontId="4" fillId="0" borderId="1" xfId="0" applyFont="1" applyBorder="1" applyAlignment="1">
      <alignment wrapText="1"/>
    </xf>
    <xf numFmtId="0" fontId="0" fillId="0" borderId="15" xfId="0" applyBorder="1" applyAlignment="1">
      <alignment vertical="top"/>
    </xf>
    <xf numFmtId="0" fontId="5" fillId="0" borderId="0" xfId="0" applyFont="1" applyAlignment="1">
      <alignment wrapText="1"/>
    </xf>
    <xf numFmtId="0" fontId="7" fillId="0" borderId="16" xfId="0" applyFont="1" applyBorder="1" applyAlignment="1">
      <alignment wrapText="1"/>
    </xf>
    <xf numFmtId="0" fontId="0" fillId="3" borderId="1" xfId="0" applyFill="1" applyBorder="1"/>
    <xf numFmtId="0" fontId="8" fillId="4" borderId="1" xfId="0" applyFont="1" applyFill="1" applyBorder="1"/>
    <xf numFmtId="0" fontId="9" fillId="0" borderId="1" xfId="0" applyFont="1" applyBorder="1" applyAlignment="1">
      <alignment wrapText="1"/>
    </xf>
    <xf numFmtId="0" fontId="0" fillId="0" borderId="15" xfId="0" applyBorder="1"/>
    <xf numFmtId="0" fontId="0" fillId="0" borderId="17" xfId="0" applyBorder="1" applyAlignment="1">
      <alignment vertical="top"/>
    </xf>
    <xf numFmtId="0" fontId="1" fillId="0" borderId="18" xfId="0" applyFont="1" applyBorder="1" applyAlignment="1">
      <alignment readingOrder="1"/>
    </xf>
    <xf numFmtId="0" fontId="0" fillId="0" borderId="0" xfId="0" applyBorder="1"/>
    <xf numFmtId="0" fontId="1" fillId="0" borderId="0" xfId="0" applyFont="1" applyBorder="1" applyAlignment="1">
      <alignment readingOrder="1"/>
    </xf>
    <xf numFmtId="22" fontId="2" fillId="0" borderId="0" xfId="0" applyNumberFormat="1" applyFont="1" applyBorder="1" applyAlignment="1">
      <alignment readingOrder="1"/>
    </xf>
    <xf numFmtId="0" fontId="2" fillId="0" borderId="0" xfId="0" applyFont="1" applyBorder="1" applyAlignment="1">
      <alignment readingOrder="1"/>
    </xf>
    <xf numFmtId="0" fontId="0" fillId="5" borderId="1" xfId="0" applyFill="1" applyBorder="1"/>
    <xf numFmtId="0" fontId="8" fillId="6" borderId="1" xfId="0" applyFont="1" applyFill="1" applyBorder="1"/>
    <xf numFmtId="0" fontId="0" fillId="7" borderId="0" xfId="0" applyFill="1" applyBorder="1"/>
    <xf numFmtId="0" fontId="10" fillId="7" borderId="0" xfId="0" applyFont="1" applyFill="1" applyBorder="1" applyAlignment="1">
      <alignment horizontal="center" vertical="top"/>
    </xf>
    <xf numFmtId="0" fontId="0" fillId="7" borderId="0" xfId="0" applyFill="1" applyBorder="1" applyAlignment="1">
      <alignment vertical="top"/>
    </xf>
    <xf numFmtId="0" fontId="4" fillId="7" borderId="0" xfId="0" applyFont="1" applyFill="1" applyBorder="1" applyAlignment="1">
      <alignment vertical="top" wrapText="1"/>
    </xf>
    <xf numFmtId="0" fontId="1" fillId="7" borderId="0" xfId="0" applyFont="1" applyFill="1" applyBorder="1" applyAlignment="1">
      <alignment readingOrder="1"/>
    </xf>
    <xf numFmtId="22" fontId="2" fillId="7" borderId="0" xfId="0" applyNumberFormat="1" applyFont="1" applyFill="1" applyBorder="1" applyAlignment="1">
      <alignment readingOrder="1"/>
    </xf>
    <xf numFmtId="0" fontId="0" fillId="7" borderId="0" xfId="0" applyFill="1"/>
    <xf numFmtId="0" fontId="2" fillId="7" borderId="0" xfId="0" applyFont="1" applyFill="1" applyBorder="1" applyAlignment="1">
      <alignment readingOrder="1"/>
    </xf>
    <xf numFmtId="0" fontId="0" fillId="7" borderId="0" xfId="0" applyNumberFormat="1" applyFill="1"/>
    <xf numFmtId="0" fontId="3" fillId="7" borderId="0" xfId="0" applyFont="1" applyFill="1" applyBorder="1"/>
    <xf numFmtId="0" fontId="4" fillId="7" borderId="0" xfId="0" applyFont="1" applyFill="1" applyBorder="1" applyAlignment="1">
      <alignment wrapText="1"/>
    </xf>
    <xf numFmtId="0" fontId="8" fillId="7" borderId="0" xfId="0" applyFont="1" applyFill="1" applyBorder="1"/>
    <xf numFmtId="0" fontId="9" fillId="7" borderId="0" xfId="0" applyFont="1" applyFill="1" applyBorder="1" applyAlignment="1">
      <alignment wrapText="1"/>
    </xf>
    <xf numFmtId="0" fontId="5" fillId="7" borderId="0" xfId="0" applyFont="1" applyFill="1" applyBorder="1" applyAlignment="1">
      <alignment wrapText="1"/>
    </xf>
    <xf numFmtId="0" fontId="7" fillId="7" borderId="0" xfId="0" applyFont="1" applyFill="1" applyBorder="1" applyAlignment="1">
      <alignment wrapText="1"/>
    </xf>
    <xf numFmtId="0" fontId="6" fillId="7" borderId="0" xfId="0" applyFont="1" applyFill="1" applyBorder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3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Lit>
              <c:ptCount val="6"/>
              <c:pt idx="0">
                <c:v>2024-01</c:v>
              </c:pt>
              <c:pt idx="1">
                <c:v>2024-02</c:v>
              </c:pt>
              <c:pt idx="2">
                <c:v>2024-03</c:v>
              </c:pt>
              <c:pt idx="3">
                <c:v>2024-04</c:v>
              </c:pt>
              <c:pt idx="4">
                <c:v>2024-05</c:v>
              </c:pt>
              <c:pt idx="5">
                <c:v>2024-06</c:v>
              </c:pt>
            </c:strLit>
          </c:cat>
          <c:val>
            <c:numLit>
              <c:formatCode>General</c:formatCode>
              <c:ptCount val="6"/>
              <c:pt idx="0">
                <c:v>1281</c:v>
              </c:pt>
              <c:pt idx="1">
                <c:v>1032</c:v>
              </c:pt>
              <c:pt idx="2">
                <c:v>958</c:v>
              </c:pt>
              <c:pt idx="3">
                <c:v>1155</c:v>
              </c:pt>
              <c:pt idx="4">
                <c:v>1286</c:v>
              </c:pt>
              <c:pt idx="5">
                <c:v>1117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0C1-4599-82EE-A8C24DEB8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3047"/>
        <c:axId val="26927111"/>
      </c:lineChart>
      <c:catAx>
        <c:axId val="32230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27111"/>
        <c:crosses val="autoZero"/>
        <c:auto val="1"/>
        <c:lblAlgn val="ctr"/>
        <c:lblOffset val="100"/>
        <c:noMultiLvlLbl val="0"/>
      </c:catAx>
      <c:valAx>
        <c:axId val="26927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3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467</c:v>
              </c:pt>
              <c:pt idx="1">
                <c:v>347</c:v>
              </c:pt>
              <c:pt idx="2">
                <c:v>2518</c:v>
              </c:pt>
              <c:pt idx="3">
                <c:v>3497</c:v>
              </c:pt>
            </c:numLit>
          </c:val>
          <c:extLst>
            <c:ext xmlns:c16="http://schemas.microsoft.com/office/drawing/2014/chart" uri="{C3380CC4-5D6E-409C-BE32-E72D297353CC}">
              <c16:uniqueId val="{00000000-97D4-4837-8052-099D9CBEE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4779911"/>
        <c:axId val="163823624"/>
      </c:barChart>
      <c:catAx>
        <c:axId val="5347799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23624"/>
        <c:crosses val="autoZero"/>
        <c:auto val="1"/>
        <c:lblAlgn val="ctr"/>
        <c:lblOffset val="100"/>
        <c:noMultiLvlLbl val="0"/>
      </c:catAx>
      <c:valAx>
        <c:axId val="163823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779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Lit>
              <c:ptCount val="6"/>
              <c:pt idx="0">
                <c:v>2024-01</c:v>
              </c:pt>
              <c:pt idx="1">
                <c:v>2024-02</c:v>
              </c:pt>
              <c:pt idx="2">
                <c:v>2024-03</c:v>
              </c:pt>
              <c:pt idx="3">
                <c:v>2024-04</c:v>
              </c:pt>
              <c:pt idx="4">
                <c:v>2024-05</c:v>
              </c:pt>
              <c:pt idx="5">
                <c:v>2024-06</c:v>
              </c:pt>
            </c:strLit>
          </c:cat>
          <c:val>
            <c:numLit>
              <c:formatCode>General</c:formatCode>
              <c:ptCount val="6"/>
              <c:pt idx="0">
                <c:v>1281</c:v>
              </c:pt>
              <c:pt idx="1">
                <c:v>1032</c:v>
              </c:pt>
              <c:pt idx="2">
                <c:v>958</c:v>
              </c:pt>
              <c:pt idx="3">
                <c:v>1155</c:v>
              </c:pt>
              <c:pt idx="4">
                <c:v>1286</c:v>
              </c:pt>
              <c:pt idx="5">
                <c:v>1117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CFC-4668-A564-03239C4A0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3047"/>
        <c:axId val="26927111"/>
      </c:lineChart>
      <c:catAx>
        <c:axId val="32230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27111"/>
        <c:crosses val="autoZero"/>
        <c:auto val="1"/>
        <c:lblAlgn val="ctr"/>
        <c:lblOffset val="100"/>
        <c:noMultiLvlLbl val="0"/>
      </c:catAx>
      <c:valAx>
        <c:axId val="26927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3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Showing 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Lit>
              <c:ptCount val="6"/>
              <c:pt idx="0">
                <c:v>2024-01</c:v>
              </c:pt>
              <c:pt idx="1">
                <c:v>2024-02</c:v>
              </c:pt>
              <c:pt idx="2">
                <c:v>2024-03</c:v>
              </c:pt>
              <c:pt idx="3">
                <c:v>2024-04</c:v>
              </c:pt>
              <c:pt idx="4">
                <c:v>2024-05</c:v>
              </c:pt>
              <c:pt idx="5">
                <c:v>2024-06</c:v>
              </c:pt>
            </c:strLit>
          </c:cat>
          <c:val>
            <c:numLit>
              <c:formatCode>General</c:formatCode>
              <c:ptCount val="6"/>
              <c:pt idx="0">
                <c:v>1281</c:v>
              </c:pt>
              <c:pt idx="1">
                <c:v>1032</c:v>
              </c:pt>
              <c:pt idx="2">
                <c:v>958</c:v>
              </c:pt>
              <c:pt idx="3">
                <c:v>1155</c:v>
              </c:pt>
              <c:pt idx="4">
                <c:v>1286</c:v>
              </c:pt>
              <c:pt idx="5">
                <c:v>1117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198-4775-AB1F-91ED729A6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78248"/>
        <c:axId val="7180296"/>
      </c:lineChart>
      <c:catAx>
        <c:axId val="71782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0296"/>
        <c:crosses val="autoZero"/>
        <c:auto val="1"/>
        <c:lblAlgn val="ctr"/>
        <c:lblOffset val="100"/>
        <c:noMultiLvlLbl val="0"/>
      </c:catAx>
      <c:valAx>
        <c:axId val="7180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8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467</c:v>
              </c:pt>
              <c:pt idx="1">
                <c:v>347</c:v>
              </c:pt>
              <c:pt idx="2">
                <c:v>2518</c:v>
              </c:pt>
              <c:pt idx="3">
                <c:v>3497</c:v>
              </c:pt>
            </c:numLit>
          </c:val>
          <c:extLst>
            <c:ext xmlns:c16="http://schemas.microsoft.com/office/drawing/2014/chart" uri="{C3380CC4-5D6E-409C-BE32-E72D297353CC}">
              <c16:uniqueId val="{00000000-1147-41E9-AE24-5AFDA1091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288904"/>
        <c:axId val="6505992"/>
      </c:barChart>
      <c:catAx>
        <c:axId val="942889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5992"/>
        <c:crosses val="autoZero"/>
        <c:auto val="1"/>
        <c:lblAlgn val="ctr"/>
        <c:lblOffset val="100"/>
        <c:noMultiLvlLbl val="0"/>
      </c:catAx>
      <c:valAx>
        <c:axId val="6505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88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467</c:v>
              </c:pt>
              <c:pt idx="1">
                <c:v>347</c:v>
              </c:pt>
              <c:pt idx="2">
                <c:v>2518</c:v>
              </c:pt>
              <c:pt idx="3">
                <c:v>3497</c:v>
              </c:pt>
            </c:numLit>
          </c:val>
          <c:extLst>
            <c:ext xmlns:c16="http://schemas.microsoft.com/office/drawing/2014/chart" uri="{C3380CC4-5D6E-409C-BE32-E72D297353CC}">
              <c16:uniqueId val="{00000000-354B-4417-9EA0-79FF4C2CB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288904"/>
        <c:axId val="6505992"/>
      </c:barChart>
      <c:catAx>
        <c:axId val="942889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5992"/>
        <c:crosses val="autoZero"/>
        <c:auto val="1"/>
        <c:lblAlgn val="ctr"/>
        <c:lblOffset val="100"/>
        <c:noMultiLvlLbl val="0"/>
      </c:catAx>
      <c:valAx>
        <c:axId val="6505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88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Sheet1!$H$107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467</c:v>
              </c:pt>
              <c:pt idx="1">
                <c:v>347</c:v>
              </c:pt>
              <c:pt idx="2">
                <c:v>2518</c:v>
              </c:pt>
              <c:pt idx="3">
                <c:v>3497</c:v>
              </c:pt>
            </c:numLit>
          </c:val>
          <c:extLst>
            <c:ext xmlns:c16="http://schemas.microsoft.com/office/drawing/2014/chart" uri="{C3380CC4-5D6E-409C-BE32-E72D297353CC}">
              <c16:uniqueId val="{00000000-634D-4889-90F9-F215DFA0B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4779911"/>
        <c:axId val="163823624"/>
      </c:barChart>
      <c:catAx>
        <c:axId val="534779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23624"/>
        <c:crosses val="autoZero"/>
        <c:auto val="1"/>
        <c:lblAlgn val="ctr"/>
        <c:lblOffset val="100"/>
        <c:noMultiLvlLbl val="0"/>
      </c:catAx>
      <c:valAx>
        <c:axId val="163823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779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Lit>
              <c:ptCount val="6"/>
              <c:pt idx="0">
                <c:v>2024-01</c:v>
              </c:pt>
              <c:pt idx="1">
                <c:v>2024-02</c:v>
              </c:pt>
              <c:pt idx="2">
                <c:v>2024-03</c:v>
              </c:pt>
              <c:pt idx="3">
                <c:v>2024-04</c:v>
              </c:pt>
              <c:pt idx="4">
                <c:v>2024-05</c:v>
              </c:pt>
              <c:pt idx="5">
                <c:v>2024-06</c:v>
              </c:pt>
            </c:strLit>
          </c:cat>
          <c:val>
            <c:numLit>
              <c:formatCode>General</c:formatCode>
              <c:ptCount val="6"/>
              <c:pt idx="0">
                <c:v>1281</c:v>
              </c:pt>
              <c:pt idx="1">
                <c:v>1032</c:v>
              </c:pt>
              <c:pt idx="2">
                <c:v>958</c:v>
              </c:pt>
              <c:pt idx="3">
                <c:v>1155</c:v>
              </c:pt>
              <c:pt idx="4">
                <c:v>1286</c:v>
              </c:pt>
              <c:pt idx="5">
                <c:v>1117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4C7-49C3-BE9A-3D957C9D6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3047"/>
        <c:axId val="26927111"/>
      </c:lineChart>
      <c:catAx>
        <c:axId val="32230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27111"/>
        <c:crosses val="autoZero"/>
        <c:auto val="1"/>
        <c:lblAlgn val="ctr"/>
        <c:lblOffset val="100"/>
        <c:noMultiLvlLbl val="0"/>
      </c:catAx>
      <c:valAx>
        <c:axId val="26927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3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50</xdr:row>
      <xdr:rowOff>38100</xdr:rowOff>
    </xdr:from>
    <xdr:to>
      <xdr:col>16</xdr:col>
      <xdr:colOff>419100</xdr:colOff>
      <xdr:row>64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4986FD-D7E0-D79D-223C-4D72EEECF9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123825</xdr:colOff>
      <xdr:row>75</xdr:row>
      <xdr:rowOff>66675</xdr:rowOff>
    </xdr:from>
    <xdr:to>
      <xdr:col>9</xdr:col>
      <xdr:colOff>628650</xdr:colOff>
      <xdr:row>89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duct">
              <a:extLst>
                <a:ext uri="{FF2B5EF4-FFF2-40B4-BE49-F238E27FC236}">
                  <a16:creationId xmlns:a16="http://schemas.microsoft.com/office/drawing/2014/main" id="{86CD5C06-0DA1-7542-F8E7-8A522A1F245B}"/>
                </a:ext>
                <a:ext uri="{147F2762-F138-4A5C-976F-8EAC2B608ADB}">
                  <a16:predDERef xmlns:a16="http://schemas.microsoft.com/office/drawing/2014/main" pred="{234986FD-D7E0-D79D-223C-4D72EEECF9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05675" y="169735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8</xdr:col>
      <xdr:colOff>266700</xdr:colOff>
      <xdr:row>99</xdr:row>
      <xdr:rowOff>19050</xdr:rowOff>
    </xdr:from>
    <xdr:to>
      <xdr:col>14</xdr:col>
      <xdr:colOff>342900</xdr:colOff>
      <xdr:row>113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596367-1EC6-501F-627A-BA2FAA1C75B0}"/>
            </a:ext>
            <a:ext uri="{147F2762-F138-4A5C-976F-8EAC2B608ADB}">
              <a16:predDERef xmlns:a16="http://schemas.microsoft.com/office/drawing/2014/main" pred="{86CD5C06-0DA1-7542-F8E7-8A522A1F2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139</xdr:row>
      <xdr:rowOff>161925</xdr:rowOff>
    </xdr:from>
    <xdr:to>
      <xdr:col>6</xdr:col>
      <xdr:colOff>581025</xdr:colOff>
      <xdr:row>154</xdr:row>
      <xdr:rowOff>47625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60D4B6D2-CFC3-4021-9157-85AD51F6A8DE}"/>
            </a:ext>
            <a:ext uri="{147F2762-F138-4A5C-976F-8EAC2B608ADB}">
              <a16:predDERef xmlns:a16="http://schemas.microsoft.com/office/drawing/2014/main" pred="{619EC347-B605-4A70-A9E6-871CA9BBFD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95250</xdr:colOff>
      <xdr:row>50</xdr:row>
      <xdr:rowOff>133350</xdr:rowOff>
    </xdr:from>
    <xdr:to>
      <xdr:col>16</xdr:col>
      <xdr:colOff>400050</xdr:colOff>
      <xdr:row>65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B6C693-3D73-D2DA-24A9-CCEBE1FD73D9}"/>
            </a:ext>
            <a:ext uri="{147F2762-F138-4A5C-976F-8EAC2B608ADB}">
              <a16:predDERef xmlns:a16="http://schemas.microsoft.com/office/drawing/2014/main" pred="{60D4B6D2-CFC3-4021-9157-85AD51F6A8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333375</xdr:colOff>
      <xdr:row>75</xdr:row>
      <xdr:rowOff>76200</xdr:rowOff>
    </xdr:from>
    <xdr:to>
      <xdr:col>10</xdr:col>
      <xdr:colOff>533400</xdr:colOff>
      <xdr:row>89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roduct 2">
              <a:extLst>
                <a:ext uri="{FF2B5EF4-FFF2-40B4-BE49-F238E27FC236}">
                  <a16:creationId xmlns:a16="http://schemas.microsoft.com/office/drawing/2014/main" id="{C44BCE75-F818-6A91-015F-8270BEA5EAF6}"/>
                </a:ext>
                <a:ext uri="{147F2762-F138-4A5C-976F-8EAC2B608ADB}">
                  <a16:predDERef xmlns:a16="http://schemas.microsoft.com/office/drawing/2014/main" pred="{61B6C693-3D73-D2DA-24A9-CCEBE1FD73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10425" y="166306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8</xdr:col>
      <xdr:colOff>342900</xdr:colOff>
      <xdr:row>98</xdr:row>
      <xdr:rowOff>123825</xdr:rowOff>
    </xdr:from>
    <xdr:to>
      <xdr:col>15</xdr:col>
      <xdr:colOff>238125</xdr:colOff>
      <xdr:row>113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FFFB0F-7EA1-85D8-FB81-0B05DB7FFB4A}"/>
            </a:ext>
            <a:ext uri="{147F2762-F138-4A5C-976F-8EAC2B608ADB}">
              <a16:predDERef xmlns:a16="http://schemas.microsoft.com/office/drawing/2014/main" pred="{C44BCE75-F818-6A91-015F-8270BEA5E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85725</xdr:colOff>
      <xdr:row>124</xdr:row>
      <xdr:rowOff>104775</xdr:rowOff>
    </xdr:from>
    <xdr:to>
      <xdr:col>9</xdr:col>
      <xdr:colOff>600075</xdr:colOff>
      <xdr:row>138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D47A401-6D11-4BB1-8741-AAC0604F724E}"/>
            </a:ext>
            <a:ext uri="{147F2762-F138-4A5C-976F-8EAC2B608ADB}">
              <a16:predDERef xmlns:a16="http://schemas.microsoft.com/office/drawing/2014/main" pred="{CFFFFB0F-7EA1-85D8-FB81-0B05DB7FF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3</xdr:row>
      <xdr:rowOff>0</xdr:rowOff>
    </xdr:from>
    <xdr:to>
      <xdr:col>8</xdr:col>
      <xdr:colOff>695325</xdr:colOff>
      <xdr:row>17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F473069-5A4A-44B0-B2E9-1720EA8570A5}"/>
            </a:ext>
            <a:ext uri="{147F2762-F138-4A5C-976F-8EAC2B608ADB}">
              <a16:predDERef xmlns:a16="http://schemas.microsoft.com/office/drawing/2014/main" pred="{8D47A401-6D11-4BB1-8741-AAC0604F72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323850</xdr:colOff>
      <xdr:row>18</xdr:row>
      <xdr:rowOff>85725</xdr:rowOff>
    </xdr:from>
    <xdr:to>
      <xdr:col>4</xdr:col>
      <xdr:colOff>504825</xdr:colOff>
      <xdr:row>32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Product 1">
              <a:extLst>
                <a:ext uri="{FF2B5EF4-FFF2-40B4-BE49-F238E27FC236}">
                  <a16:creationId xmlns:a16="http://schemas.microsoft.com/office/drawing/2014/main" id="{EED3E02F-CD1B-F25E-F049-37793A2355BF}"/>
                </a:ext>
                <a:ext uri="{147F2762-F138-4A5C-976F-8EAC2B608ADB}">
                  <a16:predDERef xmlns:a16="http://schemas.microsoft.com/office/drawing/2014/main" pred="{FF473069-5A4A-44B0-B2E9-1720EA8570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33800" y="36671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6</xdr:col>
      <xdr:colOff>1133475</xdr:colOff>
      <xdr:row>18</xdr:row>
      <xdr:rowOff>142875</xdr:rowOff>
    </xdr:from>
    <xdr:to>
      <xdr:col>12</xdr:col>
      <xdr:colOff>323850</xdr:colOff>
      <xdr:row>33</xdr:row>
      <xdr:rowOff>28575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9EF467F-AE78-4035-B8D8-23B0ADF7350B}"/>
            </a:ext>
            <a:ext uri="{147F2762-F138-4A5C-976F-8EAC2B608ADB}">
              <a16:predDERef xmlns:a16="http://schemas.microsoft.com/office/drawing/2014/main" pred="{EED3E02F-CD1B-F25E-F049-37793A2355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83.50480949074" createdVersion="8" refreshedVersion="8" minRefreshableVersion="3" recordCount="20" xr:uid="{31CA7C4E-775E-4F80-8079-0E185F0B13B2}">
  <cacheSource type="worksheet">
    <worksheetSource ref="A3:E23" sheet="Sheet1"/>
  </cacheSource>
  <cacheFields count="5">
    <cacheField name="Date" numFmtId="22">
      <sharedItems containsSemiMixedTypes="0" containsNonDate="0" containsDate="1" containsString="0" minDate="2024-01-01T00:00:00" maxDate="2024-07-01T00:00:00"/>
    </cacheField>
    <cacheField name="Region" numFmtId="0">
      <sharedItems count="4">
        <s v="West"/>
        <s v="South"/>
        <s v="East"/>
        <s v="North"/>
      </sharedItems>
    </cacheField>
    <cacheField name="Product" numFmtId="0">
      <sharedItems/>
    </cacheField>
    <cacheField name="Sales" numFmtId="0">
      <sharedItems containsSemiMixedTypes="0" containsString="0" containsNumber="1" containsInteger="1" minValue="53" maxValue="497"/>
    </cacheField>
    <cacheField name="Quantity" numFmtId="0">
      <sharedItems containsSemiMixedTypes="0" containsString="0" containsNumber="1" containsInteger="1" minValue="23" maxValue="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83.525925578702" createdVersion="8" refreshedVersion="8" minRefreshableVersion="3" recordCount="20" xr:uid="{61FD1146-5FDE-40D8-B292-A58ED67C5BC2}">
  <cacheSource type="worksheet">
    <worksheetSource ref="A51:F71" sheet="Sheet1"/>
  </cacheSource>
  <cacheFields count="6">
    <cacheField name="Date" numFmtId="22">
      <sharedItems containsSemiMixedTypes="0" containsNonDate="0" containsDate="1" containsString="0" minDate="2024-01-01T00:00:00" maxDate="2024-07-01T00:00:00" count="20">
        <d v="2024-01-01T00:00:00"/>
        <d v="2024-01-10T12:37:54"/>
        <d v="2024-01-20T01:15:47"/>
        <d v="2024-01-29T13:53:41"/>
        <d v="2024-02-08T02:31:35"/>
        <d v="2024-02-17T15:09:28"/>
        <d v="2024-02-27T03:47:22"/>
        <d v="2024-03-07T16:25:16"/>
        <d v="2024-03-17T05:03:09"/>
        <d v="2024-03-26T17:41:03"/>
        <d v="2024-04-05T06:18:57"/>
        <d v="2024-04-14T18:56:51"/>
        <d v="2024-04-24T07:34:44"/>
        <d v="2024-05-03T20:12:38"/>
        <d v="2024-05-13T08:50:32"/>
        <d v="2024-05-22T21:28:25"/>
        <d v="2024-06-01T10:06:19"/>
        <d v="2024-06-10T22:44:13"/>
        <d v="2024-06-20T11:22:06"/>
        <d v="2024-06-30T00:00:00"/>
      </sharedItems>
    </cacheField>
    <cacheField name="Region" numFmtId="0">
      <sharedItems count="4">
        <s v="West"/>
        <s v="South"/>
        <s v="East"/>
        <s v="North"/>
      </sharedItems>
    </cacheField>
    <cacheField name="Product" numFmtId="0">
      <sharedItems count="3">
        <s v="Mangoes"/>
        <s v="Oranges"/>
        <s v="Apples"/>
      </sharedItems>
    </cacheField>
    <cacheField name="Sales" numFmtId="0">
      <sharedItems containsSemiMixedTypes="0" containsString="0" containsNumber="1" containsInteger="1" minValue="53" maxValue="497"/>
    </cacheField>
    <cacheField name="Quantity" numFmtId="0">
      <sharedItems containsSemiMixedTypes="0" containsString="0" containsNumber="1" containsInteger="1" minValue="23" maxValue="97"/>
    </cacheField>
    <cacheField name="MONTH" numFmtId="0">
      <sharedItems count="6">
        <s v="2024-01"/>
        <s v="2024-02"/>
        <s v="2024-03"/>
        <s v="2024-04"/>
        <s v="2024-05"/>
        <s v="2024-0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84.618230555556" createdVersion="8" refreshedVersion="8" minRefreshableVersion="3" recordCount="20" xr:uid="{BF8B3CB8-4D93-403D-81E8-5595F34B61A7}">
  <cacheSource type="worksheet">
    <worksheetSource ref="A75:E95" sheet="Sheet1"/>
  </cacheSource>
  <cacheFields count="5">
    <cacheField name="Date" numFmtId="22">
      <sharedItems containsSemiMixedTypes="0" containsNonDate="0" containsDate="1" containsString="0" minDate="2024-01-01T00:00:00" maxDate="2024-07-01T00:00:00"/>
    </cacheField>
    <cacheField name="Region" numFmtId="0">
      <sharedItems/>
    </cacheField>
    <cacheField name="Product" numFmtId="0">
      <sharedItems count="3">
        <s v="Mangoes"/>
        <s v="Oranges"/>
        <s v="Apples"/>
      </sharedItems>
    </cacheField>
    <cacheField name="Sales" numFmtId="0">
      <sharedItems containsSemiMixedTypes="0" containsString="0" containsNumber="1" containsInteger="1" minValue="53" maxValue="497"/>
    </cacheField>
    <cacheField name="Quantity" numFmtId="0">
      <sharedItems containsSemiMixedTypes="0" containsString="0" containsNumber="1" containsInteger="1" minValue="23" maxValue="97"/>
    </cacheField>
  </cacheFields>
  <extLst>
    <ext xmlns:x14="http://schemas.microsoft.com/office/spreadsheetml/2009/9/main" uri="{725AE2AE-9491-48be-B2B4-4EB974FC3084}">
      <x14:pivotCacheDefinition pivotCacheId="1122245154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84.626722685185" createdVersion="8" refreshedVersion="8" minRefreshableVersion="3" recordCount="20" xr:uid="{4A237211-F1ED-49ED-92B9-7718528AEE2F}">
  <cacheSource type="worksheet">
    <worksheetSource ref="A99:E119" sheet="Sheet1"/>
  </cacheSource>
  <cacheFields count="5">
    <cacheField name="Date" numFmtId="22">
      <sharedItems containsSemiMixedTypes="0" containsNonDate="0" containsDate="1" containsString="0" minDate="2024-01-01T00:00:00" maxDate="2024-07-01T00:00:00"/>
    </cacheField>
    <cacheField name="Region" numFmtId="0">
      <sharedItems count="4">
        <s v="West"/>
        <s v="South"/>
        <s v="East"/>
        <s v="North"/>
      </sharedItems>
    </cacheField>
    <cacheField name="Product" numFmtId="0">
      <sharedItems/>
    </cacheField>
    <cacheField name="Sales" numFmtId="0">
      <sharedItems containsSemiMixedTypes="0" containsString="0" containsNumber="1" containsInteger="1" minValue="53" maxValue="497"/>
    </cacheField>
    <cacheField name="Quantity" numFmtId="0">
      <sharedItems containsSemiMixedTypes="0" containsString="0" containsNumber="1" containsInteger="1" minValue="23" maxValue="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84.704000694444" createdVersion="8" refreshedVersion="8" minRefreshableVersion="3" recordCount="20" xr:uid="{FDBC820B-C3E0-4CCF-A43A-766C0766A8CB}">
  <cacheSource type="worksheet">
    <worksheetSource ref="A160:F180" sheet="DASHBOARD"/>
  </cacheSource>
  <cacheFields count="6">
    <cacheField name="Date" numFmtId="22">
      <sharedItems containsSemiMixedTypes="0" containsNonDate="0" containsDate="1" containsString="0" minDate="2024-01-01T00:00:00" maxDate="2024-07-01T00:00:00"/>
    </cacheField>
    <cacheField name="Region" numFmtId="0">
      <sharedItems/>
    </cacheField>
    <cacheField name="Product" numFmtId="0">
      <sharedItems/>
    </cacheField>
    <cacheField name="Sales" numFmtId="0">
      <sharedItems containsSemiMixedTypes="0" containsString="0" containsNumber="1" containsInteger="1" minValue="53" maxValue="497"/>
    </cacheField>
    <cacheField name="Quantity" numFmtId="0">
      <sharedItems containsSemiMixedTypes="0" containsString="0" containsNumber="1" containsInteger="1" minValue="23" maxValue="97"/>
    </cacheField>
    <cacheField name="MONTH" numFmtId="0">
      <sharedItems count="6">
        <s v="2024-01"/>
        <s v="2024-02"/>
        <s v="2024-03"/>
        <s v="2024-04"/>
        <s v="2024-05"/>
        <s v="2024-0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84.716821643517" createdVersion="8" refreshedVersion="8" minRefreshableVersion="3" recordCount="20" xr:uid="{9A3D4BC5-2BBA-4A6D-BD16-8A7634AB446D}">
  <cacheSource type="worksheet">
    <worksheetSource ref="A184:E204" sheet="DASHBOARD"/>
  </cacheSource>
  <cacheFields count="5">
    <cacheField name="Date" numFmtId="22">
      <sharedItems containsSemiMixedTypes="0" containsNonDate="0" containsDate="1" containsString="0" minDate="2024-01-01T00:00:00" maxDate="2024-07-01T00:00:00"/>
    </cacheField>
    <cacheField name="Region" numFmtId="0">
      <sharedItems/>
    </cacheField>
    <cacheField name="Product" numFmtId="0">
      <sharedItems count="3">
        <s v="Mangoes"/>
        <s v="Oranges"/>
        <s v="Apples"/>
      </sharedItems>
    </cacheField>
    <cacheField name="Sales" numFmtId="0">
      <sharedItems containsSemiMixedTypes="0" containsString="0" containsNumber="1" containsInteger="1" minValue="53" maxValue="497"/>
    </cacheField>
    <cacheField name="Quantity" numFmtId="0">
      <sharedItems containsSemiMixedTypes="0" containsString="0" containsNumber="1" containsInteger="1" minValue="23" maxValue="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d v="2024-01-01T00:00:00"/>
    <x v="0"/>
    <s v="Mangoes"/>
    <n v="456"/>
    <n v="93"/>
  </r>
  <r>
    <d v="2024-01-10T12:37:54"/>
    <x v="1"/>
    <s v="Oranges"/>
    <n v="348"/>
    <n v="56"/>
  </r>
  <r>
    <d v="2024-01-20T01:15:47"/>
    <x v="1"/>
    <s v="Mangoes"/>
    <n v="247"/>
    <n v="76"/>
  </r>
  <r>
    <d v="2024-01-29T13:53:41"/>
    <x v="0"/>
    <s v="Apples"/>
    <n v="230"/>
    <n v="37"/>
  </r>
  <r>
    <d v="2024-02-08T02:31:35"/>
    <x v="0"/>
    <s v="Mangoes"/>
    <n v="281"/>
    <n v="50"/>
  </r>
  <r>
    <d v="2024-02-17T15:09:28"/>
    <x v="0"/>
    <s v="Oranges"/>
    <n v="334"/>
    <n v="52"/>
  </r>
  <r>
    <d v="2024-02-27T03:47:22"/>
    <x v="1"/>
    <s v="Apples"/>
    <n v="417"/>
    <n v="29"/>
  </r>
  <r>
    <d v="2024-03-07T16:25:16"/>
    <x v="0"/>
    <s v="Apples"/>
    <n v="441"/>
    <n v="44"/>
  </r>
  <r>
    <d v="2024-03-17T05:03:09"/>
    <x v="1"/>
    <s v="Mangoes"/>
    <n v="76"/>
    <n v="63"/>
  </r>
  <r>
    <d v="2024-03-26T17:41:03"/>
    <x v="0"/>
    <s v="Oranges"/>
    <n v="441"/>
    <n v="79"/>
  </r>
  <r>
    <d v="2024-04-05T06:18:57"/>
    <x v="1"/>
    <s v="Mangoes"/>
    <n v="205"/>
    <n v="23"/>
  </r>
  <r>
    <d v="2024-04-14T18:56:51"/>
    <x v="0"/>
    <s v="Oranges"/>
    <n v="483"/>
    <n v="97"/>
  </r>
  <r>
    <d v="2024-04-24T07:34:44"/>
    <x v="2"/>
    <s v="Mangoes"/>
    <n v="467"/>
    <n v="97"/>
  </r>
  <r>
    <d v="2024-05-03T20:12:38"/>
    <x v="0"/>
    <s v="Mangoes"/>
    <n v="380"/>
    <n v="92"/>
  </r>
  <r>
    <d v="2024-05-13T08:50:32"/>
    <x v="1"/>
    <s v="Oranges"/>
    <n v="497"/>
    <n v="71"/>
  </r>
  <r>
    <d v="2024-05-22T21:28:25"/>
    <x v="1"/>
    <s v="Mangoes"/>
    <n v="409"/>
    <n v="81"/>
  </r>
  <r>
    <d v="2024-06-01T10:06:19"/>
    <x v="0"/>
    <s v="Oranges"/>
    <n v="53"/>
    <n v="45"/>
  </r>
  <r>
    <d v="2024-06-10T22:44:13"/>
    <x v="0"/>
    <s v="Apples"/>
    <n v="398"/>
    <n v="33"/>
  </r>
  <r>
    <d v="2024-06-20T11:22:06"/>
    <x v="3"/>
    <s v="Oranges"/>
    <n v="347"/>
    <n v="35"/>
  </r>
  <r>
    <d v="2024-06-30T00:00:00"/>
    <x v="1"/>
    <s v="Apples"/>
    <n v="319"/>
    <n v="4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x v="0"/>
    <n v="456"/>
    <n v="93"/>
    <x v="0"/>
  </r>
  <r>
    <x v="1"/>
    <x v="1"/>
    <x v="1"/>
    <n v="348"/>
    <n v="56"/>
    <x v="0"/>
  </r>
  <r>
    <x v="2"/>
    <x v="1"/>
    <x v="0"/>
    <n v="247"/>
    <n v="76"/>
    <x v="0"/>
  </r>
  <r>
    <x v="3"/>
    <x v="0"/>
    <x v="2"/>
    <n v="230"/>
    <n v="37"/>
    <x v="0"/>
  </r>
  <r>
    <x v="4"/>
    <x v="0"/>
    <x v="0"/>
    <n v="281"/>
    <n v="50"/>
    <x v="1"/>
  </r>
  <r>
    <x v="5"/>
    <x v="0"/>
    <x v="1"/>
    <n v="334"/>
    <n v="52"/>
    <x v="1"/>
  </r>
  <r>
    <x v="6"/>
    <x v="1"/>
    <x v="2"/>
    <n v="417"/>
    <n v="29"/>
    <x v="1"/>
  </r>
  <r>
    <x v="7"/>
    <x v="0"/>
    <x v="2"/>
    <n v="441"/>
    <n v="44"/>
    <x v="2"/>
  </r>
  <r>
    <x v="8"/>
    <x v="1"/>
    <x v="0"/>
    <n v="76"/>
    <n v="63"/>
    <x v="2"/>
  </r>
  <r>
    <x v="9"/>
    <x v="0"/>
    <x v="1"/>
    <n v="441"/>
    <n v="79"/>
    <x v="2"/>
  </r>
  <r>
    <x v="10"/>
    <x v="1"/>
    <x v="0"/>
    <n v="205"/>
    <n v="23"/>
    <x v="3"/>
  </r>
  <r>
    <x v="11"/>
    <x v="0"/>
    <x v="1"/>
    <n v="483"/>
    <n v="97"/>
    <x v="3"/>
  </r>
  <r>
    <x v="12"/>
    <x v="2"/>
    <x v="0"/>
    <n v="467"/>
    <n v="97"/>
    <x v="3"/>
  </r>
  <r>
    <x v="13"/>
    <x v="0"/>
    <x v="0"/>
    <n v="380"/>
    <n v="92"/>
    <x v="4"/>
  </r>
  <r>
    <x v="14"/>
    <x v="1"/>
    <x v="1"/>
    <n v="497"/>
    <n v="71"/>
    <x v="4"/>
  </r>
  <r>
    <x v="15"/>
    <x v="1"/>
    <x v="0"/>
    <n v="409"/>
    <n v="81"/>
    <x v="4"/>
  </r>
  <r>
    <x v="16"/>
    <x v="0"/>
    <x v="1"/>
    <n v="53"/>
    <n v="45"/>
    <x v="5"/>
  </r>
  <r>
    <x v="17"/>
    <x v="0"/>
    <x v="2"/>
    <n v="398"/>
    <n v="33"/>
    <x v="5"/>
  </r>
  <r>
    <x v="18"/>
    <x v="3"/>
    <x v="1"/>
    <n v="347"/>
    <n v="35"/>
    <x v="5"/>
  </r>
  <r>
    <x v="19"/>
    <x v="1"/>
    <x v="2"/>
    <n v="319"/>
    <n v="45"/>
    <x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d v="2024-01-01T00:00:00"/>
    <s v="West"/>
    <x v="0"/>
    <n v="456"/>
    <n v="93"/>
  </r>
  <r>
    <d v="2024-01-10T12:37:54"/>
    <s v="South"/>
    <x v="1"/>
    <n v="348"/>
    <n v="56"/>
  </r>
  <r>
    <d v="2024-01-20T01:15:47"/>
    <s v="South"/>
    <x v="0"/>
    <n v="247"/>
    <n v="76"/>
  </r>
  <r>
    <d v="2024-01-29T13:53:41"/>
    <s v="West"/>
    <x v="2"/>
    <n v="230"/>
    <n v="37"/>
  </r>
  <r>
    <d v="2024-02-08T02:31:35"/>
    <s v="West"/>
    <x v="0"/>
    <n v="281"/>
    <n v="50"/>
  </r>
  <r>
    <d v="2024-02-17T15:09:28"/>
    <s v="West"/>
    <x v="1"/>
    <n v="334"/>
    <n v="52"/>
  </r>
  <r>
    <d v="2024-02-27T03:47:22"/>
    <s v="South"/>
    <x v="2"/>
    <n v="417"/>
    <n v="29"/>
  </r>
  <r>
    <d v="2024-03-07T16:25:16"/>
    <s v="West"/>
    <x v="2"/>
    <n v="441"/>
    <n v="44"/>
  </r>
  <r>
    <d v="2024-03-17T05:03:09"/>
    <s v="South"/>
    <x v="0"/>
    <n v="76"/>
    <n v="63"/>
  </r>
  <r>
    <d v="2024-03-26T17:41:03"/>
    <s v="West"/>
    <x v="1"/>
    <n v="441"/>
    <n v="79"/>
  </r>
  <r>
    <d v="2024-04-05T06:18:57"/>
    <s v="South"/>
    <x v="0"/>
    <n v="205"/>
    <n v="23"/>
  </r>
  <r>
    <d v="2024-04-14T18:56:51"/>
    <s v="West"/>
    <x v="1"/>
    <n v="483"/>
    <n v="97"/>
  </r>
  <r>
    <d v="2024-04-24T07:34:44"/>
    <s v="East"/>
    <x v="0"/>
    <n v="467"/>
    <n v="97"/>
  </r>
  <r>
    <d v="2024-05-03T20:12:38"/>
    <s v="West"/>
    <x v="0"/>
    <n v="380"/>
    <n v="92"/>
  </r>
  <r>
    <d v="2024-05-13T08:50:32"/>
    <s v="South"/>
    <x v="1"/>
    <n v="497"/>
    <n v="71"/>
  </r>
  <r>
    <d v="2024-05-22T21:28:25"/>
    <s v="South"/>
    <x v="0"/>
    <n v="409"/>
    <n v="81"/>
  </r>
  <r>
    <d v="2024-06-01T10:06:19"/>
    <s v="West"/>
    <x v="1"/>
    <n v="53"/>
    <n v="45"/>
  </r>
  <r>
    <d v="2024-06-10T22:44:13"/>
    <s v="West"/>
    <x v="2"/>
    <n v="398"/>
    <n v="33"/>
  </r>
  <r>
    <d v="2024-06-20T11:22:06"/>
    <s v="North"/>
    <x v="1"/>
    <n v="347"/>
    <n v="35"/>
  </r>
  <r>
    <d v="2024-06-30T00:00:00"/>
    <s v="South"/>
    <x v="2"/>
    <n v="319"/>
    <n v="4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d v="2024-01-01T00:00:00"/>
    <x v="0"/>
    <s v="Mangoes"/>
    <n v="456"/>
    <n v="93"/>
  </r>
  <r>
    <d v="2024-01-10T12:37:54"/>
    <x v="1"/>
    <s v="Oranges"/>
    <n v="348"/>
    <n v="56"/>
  </r>
  <r>
    <d v="2024-01-20T01:15:47"/>
    <x v="1"/>
    <s v="Mangoes"/>
    <n v="247"/>
    <n v="76"/>
  </r>
  <r>
    <d v="2024-01-29T13:53:41"/>
    <x v="0"/>
    <s v="Apples"/>
    <n v="230"/>
    <n v="37"/>
  </r>
  <r>
    <d v="2024-02-08T02:31:35"/>
    <x v="0"/>
    <s v="Mangoes"/>
    <n v="281"/>
    <n v="50"/>
  </r>
  <r>
    <d v="2024-02-17T15:09:28"/>
    <x v="0"/>
    <s v="Oranges"/>
    <n v="334"/>
    <n v="52"/>
  </r>
  <r>
    <d v="2024-02-27T03:47:22"/>
    <x v="1"/>
    <s v="Apples"/>
    <n v="417"/>
    <n v="29"/>
  </r>
  <r>
    <d v="2024-03-07T16:25:16"/>
    <x v="0"/>
    <s v="Apples"/>
    <n v="441"/>
    <n v="44"/>
  </r>
  <r>
    <d v="2024-03-17T05:03:09"/>
    <x v="1"/>
    <s v="Mangoes"/>
    <n v="76"/>
    <n v="63"/>
  </r>
  <r>
    <d v="2024-03-26T17:41:03"/>
    <x v="0"/>
    <s v="Oranges"/>
    <n v="441"/>
    <n v="79"/>
  </r>
  <r>
    <d v="2024-04-05T06:18:57"/>
    <x v="1"/>
    <s v="Mangoes"/>
    <n v="205"/>
    <n v="23"/>
  </r>
  <r>
    <d v="2024-04-14T18:56:51"/>
    <x v="0"/>
    <s v="Oranges"/>
    <n v="483"/>
    <n v="97"/>
  </r>
  <r>
    <d v="2024-04-24T07:34:44"/>
    <x v="2"/>
    <s v="Mangoes"/>
    <n v="467"/>
    <n v="97"/>
  </r>
  <r>
    <d v="2024-05-03T20:12:38"/>
    <x v="0"/>
    <s v="Mangoes"/>
    <n v="380"/>
    <n v="92"/>
  </r>
  <r>
    <d v="2024-05-13T08:50:32"/>
    <x v="1"/>
    <s v="Oranges"/>
    <n v="497"/>
    <n v="71"/>
  </r>
  <r>
    <d v="2024-05-22T21:28:25"/>
    <x v="1"/>
    <s v="Mangoes"/>
    <n v="409"/>
    <n v="81"/>
  </r>
  <r>
    <d v="2024-06-01T10:06:19"/>
    <x v="0"/>
    <s v="Oranges"/>
    <n v="53"/>
    <n v="45"/>
  </r>
  <r>
    <d v="2024-06-10T22:44:13"/>
    <x v="0"/>
    <s v="Apples"/>
    <n v="398"/>
    <n v="33"/>
  </r>
  <r>
    <d v="2024-06-20T11:22:06"/>
    <x v="3"/>
    <s v="Oranges"/>
    <n v="347"/>
    <n v="35"/>
  </r>
  <r>
    <d v="2024-06-30T00:00:00"/>
    <x v="1"/>
    <s v="Apples"/>
    <n v="319"/>
    <n v="4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d v="2024-01-01T00:00:00"/>
    <s v="West"/>
    <s v="Mangoes"/>
    <n v="456"/>
    <n v="93"/>
    <x v="0"/>
  </r>
  <r>
    <d v="2024-01-10T12:37:54"/>
    <s v="South"/>
    <s v="Oranges"/>
    <n v="348"/>
    <n v="56"/>
    <x v="0"/>
  </r>
  <r>
    <d v="2024-01-20T01:15:47"/>
    <s v="South"/>
    <s v="Mangoes"/>
    <n v="247"/>
    <n v="76"/>
    <x v="0"/>
  </r>
  <r>
    <d v="2024-01-29T13:53:41"/>
    <s v="West"/>
    <s v="Apples"/>
    <n v="230"/>
    <n v="37"/>
    <x v="0"/>
  </r>
  <r>
    <d v="2024-02-08T02:31:35"/>
    <s v="West"/>
    <s v="Mangoes"/>
    <n v="281"/>
    <n v="50"/>
    <x v="1"/>
  </r>
  <r>
    <d v="2024-02-17T15:09:28"/>
    <s v="West"/>
    <s v="Oranges"/>
    <n v="334"/>
    <n v="52"/>
    <x v="1"/>
  </r>
  <r>
    <d v="2024-02-27T03:47:22"/>
    <s v="South"/>
    <s v="Apples"/>
    <n v="417"/>
    <n v="29"/>
    <x v="1"/>
  </r>
  <r>
    <d v="2024-03-07T16:25:16"/>
    <s v="West"/>
    <s v="Apples"/>
    <n v="441"/>
    <n v="44"/>
    <x v="2"/>
  </r>
  <r>
    <d v="2024-03-17T05:03:09"/>
    <s v="South"/>
    <s v="Mangoes"/>
    <n v="76"/>
    <n v="63"/>
    <x v="2"/>
  </r>
  <r>
    <d v="2024-03-26T17:41:03"/>
    <s v="West"/>
    <s v="Oranges"/>
    <n v="441"/>
    <n v="79"/>
    <x v="2"/>
  </r>
  <r>
    <d v="2024-04-05T06:18:57"/>
    <s v="South"/>
    <s v="Mangoes"/>
    <n v="205"/>
    <n v="23"/>
    <x v="3"/>
  </r>
  <r>
    <d v="2024-04-14T18:56:51"/>
    <s v="West"/>
    <s v="Oranges"/>
    <n v="483"/>
    <n v="97"/>
    <x v="3"/>
  </r>
  <r>
    <d v="2024-04-24T07:34:44"/>
    <s v="East"/>
    <s v="Mangoes"/>
    <n v="467"/>
    <n v="97"/>
    <x v="3"/>
  </r>
  <r>
    <d v="2024-05-03T20:12:38"/>
    <s v="West"/>
    <s v="Mangoes"/>
    <n v="380"/>
    <n v="92"/>
    <x v="4"/>
  </r>
  <r>
    <d v="2024-05-13T08:50:32"/>
    <s v="South"/>
    <s v="Oranges"/>
    <n v="497"/>
    <n v="71"/>
    <x v="4"/>
  </r>
  <r>
    <d v="2024-05-22T21:28:25"/>
    <s v="South"/>
    <s v="Mangoes"/>
    <n v="409"/>
    <n v="81"/>
    <x v="4"/>
  </r>
  <r>
    <d v="2024-06-01T10:06:19"/>
    <s v="West"/>
    <s v="Oranges"/>
    <n v="53"/>
    <n v="45"/>
    <x v="5"/>
  </r>
  <r>
    <d v="2024-06-10T22:44:13"/>
    <s v="West"/>
    <s v="Apples"/>
    <n v="398"/>
    <n v="33"/>
    <x v="5"/>
  </r>
  <r>
    <d v="2024-06-20T11:22:06"/>
    <s v="North"/>
    <s v="Oranges"/>
    <n v="347"/>
    <n v="35"/>
    <x v="5"/>
  </r>
  <r>
    <d v="2024-06-30T00:00:00"/>
    <s v="South"/>
    <s v="Apples"/>
    <n v="319"/>
    <n v="45"/>
    <x v="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d v="2024-01-01T00:00:00"/>
    <s v="West"/>
    <x v="0"/>
    <n v="456"/>
    <n v="93"/>
  </r>
  <r>
    <d v="2024-01-10T12:37:54"/>
    <s v="South"/>
    <x v="1"/>
    <n v="348"/>
    <n v="56"/>
  </r>
  <r>
    <d v="2024-01-20T01:15:47"/>
    <s v="South"/>
    <x v="0"/>
    <n v="247"/>
    <n v="76"/>
  </r>
  <r>
    <d v="2024-01-29T13:53:41"/>
    <s v="West"/>
    <x v="2"/>
    <n v="230"/>
    <n v="37"/>
  </r>
  <r>
    <d v="2024-02-08T02:31:35"/>
    <s v="West"/>
    <x v="0"/>
    <n v="281"/>
    <n v="50"/>
  </r>
  <r>
    <d v="2024-02-17T15:09:28"/>
    <s v="West"/>
    <x v="1"/>
    <n v="334"/>
    <n v="52"/>
  </r>
  <r>
    <d v="2024-02-27T03:47:22"/>
    <s v="South"/>
    <x v="2"/>
    <n v="417"/>
    <n v="29"/>
  </r>
  <r>
    <d v="2024-03-07T16:25:16"/>
    <s v="West"/>
    <x v="2"/>
    <n v="441"/>
    <n v="44"/>
  </r>
  <r>
    <d v="2024-03-17T05:03:09"/>
    <s v="South"/>
    <x v="0"/>
    <n v="76"/>
    <n v="63"/>
  </r>
  <r>
    <d v="2024-03-26T17:41:03"/>
    <s v="West"/>
    <x v="1"/>
    <n v="441"/>
    <n v="79"/>
  </r>
  <r>
    <d v="2024-04-05T06:18:57"/>
    <s v="South"/>
    <x v="0"/>
    <n v="205"/>
    <n v="23"/>
  </r>
  <r>
    <d v="2024-04-14T18:56:51"/>
    <s v="West"/>
    <x v="1"/>
    <n v="483"/>
    <n v="97"/>
  </r>
  <r>
    <d v="2024-04-24T07:34:44"/>
    <s v="East"/>
    <x v="0"/>
    <n v="467"/>
    <n v="97"/>
  </r>
  <r>
    <d v="2024-05-03T20:12:38"/>
    <s v="West"/>
    <x v="0"/>
    <n v="380"/>
    <n v="92"/>
  </r>
  <r>
    <d v="2024-05-13T08:50:32"/>
    <s v="South"/>
    <x v="1"/>
    <n v="497"/>
    <n v="71"/>
  </r>
  <r>
    <d v="2024-05-22T21:28:25"/>
    <s v="South"/>
    <x v="0"/>
    <n v="409"/>
    <n v="81"/>
  </r>
  <r>
    <d v="2024-06-01T10:06:19"/>
    <s v="West"/>
    <x v="1"/>
    <n v="53"/>
    <n v="45"/>
  </r>
  <r>
    <d v="2024-06-10T22:44:13"/>
    <s v="West"/>
    <x v="2"/>
    <n v="398"/>
    <n v="33"/>
  </r>
  <r>
    <d v="2024-06-20T11:22:06"/>
    <s v="North"/>
    <x v="1"/>
    <n v="347"/>
    <n v="35"/>
  </r>
  <r>
    <d v="2024-06-30T00:00:00"/>
    <s v="South"/>
    <x v="2"/>
    <n v="319"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F1C5D1-5767-499E-9E5F-66CC2475EC48}" name="PivotTable5" cacheId="7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6">
  <location ref="G107:H112" firstHeaderRow="1" firstDataRow="1" firstDataCol="1"/>
  <pivotFields count="5">
    <pivotField compact="0" numFmtId="22" outline="0" showAll="0"/>
    <pivotField axis="axisRow" compact="0" outline="0" showAll="0">
      <items count="5">
        <item x="2"/>
        <item x="3"/>
        <item x="1"/>
        <item x="0"/>
        <item t="default"/>
      </items>
    </pivotField>
    <pivotField compact="0" outline="0" showAll="0"/>
    <pivotField dataField="1" compact="0" outline="0" showAll="0"/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4D24A-36D7-458B-88E3-674E9A9CC77D}" name="PivotTable3" cacheId="7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79:H83" firstHeaderRow="1" firstDataRow="1" firstDataCol="1"/>
  <pivotFields count="5">
    <pivotField compact="0" numFmtId="22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dataField="1"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123355-A031-43B1-B459-4416685A2D19}" name="PivotTable10" cacheId="7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150:H154" firstHeaderRow="1" firstDataRow="1" firstDataCol="1"/>
  <pivotFields count="5">
    <pivotField compact="0" numFmtId="22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dataField="1"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260672-3D71-458A-8203-0CEA8C6CE37C}" name="PivotTable9" cacheId="7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124:I131" firstHeaderRow="1" firstDataRow="1" firstDataCol="1"/>
  <pivotFields count="6">
    <pivotField compact="0" numFmtId="22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ales" fld="3" subtotal="average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DACBB7-B2E5-4AF8-AFEB-05CF8196F5CF}" name="PivotTable8" cacheId="7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H54:I61" firstHeaderRow="1" firstDataRow="1" firstDataCol="1"/>
  <pivotFields count="6">
    <pivotField compact="0" numFmtId="22" outline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outline="0" showAll="0">
      <items count="5">
        <item x="2"/>
        <item x="3"/>
        <item x="1"/>
        <item x="0"/>
        <item t="default"/>
      </items>
    </pivotField>
    <pivotField compact="0" outline="0" showAll="0">
      <items count="4">
        <item x="2"/>
        <item x="0"/>
        <item x="1"/>
        <item t="default"/>
      </items>
    </pivotField>
    <pivotField dataField="1" compact="0" outline="0" showAll="0"/>
    <pivotField compact="0" outline="0" showAll="0"/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3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C43233-071C-4569-9A48-0A668968B798}" name="PivotTable6" cacheId="7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8:H13" firstHeaderRow="1" firstDataRow="1" firstDataCol="1"/>
  <pivotFields count="5">
    <pivotField compact="0" numFmtId="22" outline="0" showAll="0"/>
    <pivotField axis="axisRow" compact="0" outline="0" showAll="0">
      <items count="5">
        <item x="2"/>
        <item x="3"/>
        <item x="1"/>
        <item x="0"/>
        <item t="default"/>
      </items>
    </pivotField>
    <pivotField compact="0" outline="0" showAll="0"/>
    <pivotField dataField="1" compact="0" outline="0" showAll="0"/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pivotTableStyleInfo name="PivotStyleMedium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7F52C9-BB70-4832-AFD2-51CC86F9E928}" name="PivotTable1" cacheId="7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1:B25" firstHeaderRow="1" firstDataRow="1" firstDataCol="1"/>
  <pivotFields count="5">
    <pivotField compact="0" numFmtId="22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dataField="1"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formats count="6">
    <format dxfId="8">
      <pivotArea type="all" dataOnly="0" outline="0" fieldPosition="0"/>
    </format>
    <format dxfId="9">
      <pivotArea outline="0" collapsedLevelsAreSubtotals="1" fieldPosition="0"/>
    </format>
    <format dxfId="10">
      <pivotArea field="2" type="button" dataOnly="0" labelOnly="1" outline="0" axis="axisRow" fieldPosition="0"/>
    </format>
    <format dxfId="11">
      <pivotArea dataOnly="0" labelOnly="1" outline="0" fieldPosition="0">
        <references count="1">
          <reference field="2" count="0"/>
        </references>
      </pivotArea>
    </format>
    <format dxfId="12">
      <pivotArea dataOnly="0" labelOnly="1" grandRow="1" outline="0" fieldPosition="0"/>
    </format>
    <format dxfId="13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FF835-7DF8-4A88-B225-DF26EEDDDFF0}" name="PivotTable11" cacheId="7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6">
  <location ref="B4:C9" firstHeaderRow="1" firstDataRow="1" firstDataCol="1"/>
  <pivotFields count="5">
    <pivotField compact="0" numFmtId="22" outline="0" showAll="0"/>
    <pivotField axis="axisRow" compact="0" outline="0" showAll="0">
      <items count="5">
        <item x="2"/>
        <item x="3"/>
        <item x="1"/>
        <item x="0"/>
        <item t="default"/>
      </items>
    </pivotField>
    <pivotField compact="0" outline="0" showAll="0"/>
    <pivotField dataField="1" compact="0" outline="0" showAll="0"/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formats count="6">
    <format dxfId="2">
      <pivotArea type="all" dataOnly="0" outline="0" fieldPosition="0"/>
    </format>
    <format dxfId="3">
      <pivotArea outline="0" collapsedLevelsAreSubtotals="1" fieldPosition="0"/>
    </format>
    <format dxfId="4">
      <pivotArea field="1" type="button" dataOnly="0" labelOnly="1" outline="0" axis="axisRow" fieldPosition="0"/>
    </format>
    <format dxfId="5">
      <pivotArea dataOnly="0" labelOnly="1" outline="0" fieldPosition="0">
        <references count="1">
          <reference field="1" count="0"/>
        </references>
      </pivotArea>
    </format>
    <format dxfId="6">
      <pivotArea dataOnly="0" labelOnly="1" grandRow="1" outline="0" fieldPosition="0"/>
    </format>
    <format dxfId="7">
      <pivotArea dataOnly="0" labelOnly="1" outline="0" axis="axisValues" fieldPosition="0"/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285D2656-063E-484C-B5BE-C6A4F5E6F65E}" sourceName="Product">
  <pivotTables>
    <pivotTable tabId="1" name="PivotTable3"/>
    <pivotTable tabId="2" name="PivotTable1"/>
  </pivotTables>
  <data>
    <tabular pivotCacheId="1122245154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5753E36E-1EC2-4CD2-A351-5146E67BE14D}" cache="Slicer_Product" caption="Product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 2" xr10:uid="{97C25C6C-521A-4E8D-B75C-A12D9DB93587}" cache="Slicer_Product" caption="Product" rowHeight="228600"/>
  <slicer name="Product 1" xr10:uid="{096238CC-1D79-4A3F-9DC2-E066A629E0F9}" cache="Slicer_Product" caption="Product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4"/>
  <sheetViews>
    <sheetView tabSelected="1" topLeftCell="A144" workbookViewId="0">
      <selection activeCell="N145" sqref="N145"/>
    </sheetView>
  </sheetViews>
  <sheetFormatPr defaultRowHeight="15"/>
  <cols>
    <col min="1" max="1" width="16.5703125" style="32" bestFit="1" customWidth="1"/>
    <col min="2" max="2" width="13" style="32" customWidth="1"/>
    <col min="3" max="3" width="12.85546875" style="32" customWidth="1"/>
    <col min="4" max="6" width="9.140625" style="32"/>
    <col min="7" max="7" width="16.140625" style="32" customWidth="1"/>
    <col min="8" max="8" width="12.28515625" style="32" bestFit="1" customWidth="1"/>
    <col min="9" max="9" width="19.85546875" style="32" customWidth="1"/>
    <col min="10" max="12" width="12.28515625" style="32" bestFit="1" customWidth="1"/>
    <col min="13" max="13" width="9.140625" style="32"/>
    <col min="14" max="14" width="12.28515625" style="32" customWidth="1"/>
    <col min="15" max="15" width="16.28515625" style="32" customWidth="1"/>
    <col min="16" max="16384" width="9.140625" style="32"/>
  </cols>
  <sheetData>
    <row r="1" spans="1:16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</row>
    <row r="2" spans="1:16" ht="43.5">
      <c r="A2" s="21" t="s">
        <v>0</v>
      </c>
      <c r="B2" s="14" t="s">
        <v>1</v>
      </c>
      <c r="C2"/>
      <c r="D2"/>
      <c r="E2"/>
      <c r="F2"/>
      <c r="G2"/>
      <c r="H2"/>
      <c r="I2"/>
      <c r="J2"/>
      <c r="K2"/>
      <c r="L2"/>
      <c r="M2"/>
      <c r="N2"/>
      <c r="O2"/>
      <c r="P2"/>
    </row>
    <row r="3" spans="1:16">
      <c r="A3" s="1" t="s">
        <v>2</v>
      </c>
      <c r="B3" s="11" t="s">
        <v>3</v>
      </c>
      <c r="C3" s="2" t="s">
        <v>4</v>
      </c>
      <c r="D3" s="2" t="s">
        <v>5</v>
      </c>
      <c r="E3" s="2" t="s">
        <v>6</v>
      </c>
      <c r="F3"/>
      <c r="G3"/>
      <c r="H3"/>
      <c r="I3"/>
      <c r="J3"/>
      <c r="K3"/>
      <c r="L3"/>
      <c r="M3"/>
      <c r="N3"/>
      <c r="O3"/>
      <c r="P3"/>
    </row>
    <row r="4" spans="1:16">
      <c r="A4" s="3">
        <v>45292</v>
      </c>
      <c r="B4" s="4" t="s">
        <v>7</v>
      </c>
      <c r="C4" s="4" t="s">
        <v>8</v>
      </c>
      <c r="D4" s="4">
        <v>456</v>
      </c>
      <c r="E4" s="5">
        <v>93</v>
      </c>
      <c r="F4"/>
      <c r="G4"/>
      <c r="H4"/>
      <c r="I4"/>
      <c r="J4"/>
      <c r="K4"/>
      <c r="L4"/>
      <c r="M4"/>
      <c r="N4"/>
      <c r="O4"/>
      <c r="P4"/>
    </row>
    <row r="5" spans="1:16">
      <c r="A5" s="3">
        <v>45301.526319444441</v>
      </c>
      <c r="B5" s="4" t="s">
        <v>9</v>
      </c>
      <c r="C5" s="4" t="s">
        <v>10</v>
      </c>
      <c r="D5" s="4">
        <v>348</v>
      </c>
      <c r="E5" s="5">
        <v>56</v>
      </c>
      <c r="F5"/>
      <c r="G5"/>
      <c r="H5"/>
      <c r="I5"/>
      <c r="J5"/>
      <c r="K5"/>
      <c r="L5"/>
      <c r="M5"/>
      <c r="N5"/>
      <c r="O5"/>
      <c r="P5"/>
    </row>
    <row r="6" spans="1:16">
      <c r="A6" s="3">
        <v>45311.052627314813</v>
      </c>
      <c r="B6" s="4" t="s">
        <v>9</v>
      </c>
      <c r="C6" s="4" t="s">
        <v>8</v>
      </c>
      <c r="D6" s="4">
        <v>247</v>
      </c>
      <c r="E6" s="5">
        <v>76</v>
      </c>
      <c r="F6"/>
      <c r="G6"/>
      <c r="H6"/>
      <c r="I6"/>
      <c r="J6"/>
      <c r="K6"/>
      <c r="L6"/>
      <c r="M6"/>
      <c r="N6"/>
      <c r="O6"/>
      <c r="P6"/>
    </row>
    <row r="7" spans="1:16">
      <c r="A7" s="3">
        <v>45320.578946759262</v>
      </c>
      <c r="B7" s="4" t="s">
        <v>7</v>
      </c>
      <c r="C7" s="4" t="s">
        <v>11</v>
      </c>
      <c r="D7" s="4">
        <v>230</v>
      </c>
      <c r="E7" s="5">
        <v>37</v>
      </c>
      <c r="F7"/>
      <c r="G7" s="13" t="s">
        <v>12</v>
      </c>
      <c r="H7"/>
      <c r="I7"/>
      <c r="J7"/>
      <c r="K7"/>
      <c r="L7"/>
      <c r="M7"/>
      <c r="N7"/>
      <c r="O7"/>
      <c r="P7"/>
    </row>
    <row r="8" spans="1:16">
      <c r="A8" s="3">
        <v>45330.105266203704</v>
      </c>
      <c r="B8" s="4" t="s">
        <v>7</v>
      </c>
      <c r="C8" s="4" t="s">
        <v>8</v>
      </c>
      <c r="D8" s="4">
        <v>281</v>
      </c>
      <c r="E8" s="5">
        <v>50</v>
      </c>
      <c r="F8"/>
      <c r="G8" s="9" t="s">
        <v>3</v>
      </c>
      <c r="H8" t="s">
        <v>13</v>
      </c>
      <c r="I8"/>
      <c r="J8"/>
      <c r="K8"/>
      <c r="L8"/>
      <c r="M8"/>
      <c r="N8"/>
      <c r="O8"/>
      <c r="P8"/>
    </row>
    <row r="9" spans="1:16">
      <c r="A9" s="3">
        <v>45339.631574074076</v>
      </c>
      <c r="B9" s="4" t="s">
        <v>7</v>
      </c>
      <c r="C9" s="4" t="s">
        <v>10</v>
      </c>
      <c r="D9" s="4">
        <v>334</v>
      </c>
      <c r="E9" s="5">
        <v>52</v>
      </c>
      <c r="F9"/>
      <c r="G9" t="s">
        <v>14</v>
      </c>
      <c r="H9" s="10">
        <v>467</v>
      </c>
      <c r="I9"/>
      <c r="J9"/>
      <c r="K9"/>
      <c r="L9"/>
      <c r="M9"/>
      <c r="N9"/>
      <c r="O9"/>
      <c r="P9"/>
    </row>
    <row r="10" spans="1:16">
      <c r="A10" s="3">
        <v>45349.157893518517</v>
      </c>
      <c r="B10" s="4" t="s">
        <v>9</v>
      </c>
      <c r="C10" s="4" t="s">
        <v>11</v>
      </c>
      <c r="D10" s="4">
        <v>417</v>
      </c>
      <c r="E10" s="5">
        <v>29</v>
      </c>
      <c r="F10"/>
      <c r="G10" t="s">
        <v>15</v>
      </c>
      <c r="H10" s="10">
        <v>347</v>
      </c>
      <c r="I10"/>
      <c r="J10"/>
      <c r="K10"/>
      <c r="L10"/>
      <c r="M10"/>
      <c r="N10"/>
      <c r="O10"/>
      <c r="P10"/>
    </row>
    <row r="11" spans="1:16">
      <c r="A11" s="3">
        <v>45358.684212962966</v>
      </c>
      <c r="B11" s="4" t="s">
        <v>7</v>
      </c>
      <c r="C11" s="4" t="s">
        <v>11</v>
      </c>
      <c r="D11" s="4">
        <v>441</v>
      </c>
      <c r="E11" s="5">
        <v>44</v>
      </c>
      <c r="F11"/>
      <c r="G11" t="s">
        <v>9</v>
      </c>
      <c r="H11" s="10">
        <v>2518</v>
      </c>
      <c r="I11"/>
      <c r="J11"/>
      <c r="K11"/>
      <c r="L11"/>
      <c r="M11"/>
      <c r="N11"/>
      <c r="O11"/>
      <c r="P11"/>
    </row>
    <row r="12" spans="1:16">
      <c r="A12" s="3">
        <v>45368.210520833331</v>
      </c>
      <c r="B12" s="4" t="s">
        <v>9</v>
      </c>
      <c r="C12" s="4" t="s">
        <v>8</v>
      </c>
      <c r="D12" s="4">
        <v>76</v>
      </c>
      <c r="E12" s="5">
        <v>63</v>
      </c>
      <c r="F12"/>
      <c r="G12" t="s">
        <v>7</v>
      </c>
      <c r="H12" s="10">
        <v>3497</v>
      </c>
      <c r="I12"/>
      <c r="J12"/>
      <c r="K12"/>
      <c r="L12"/>
      <c r="M12"/>
      <c r="N12"/>
      <c r="O12"/>
      <c r="P12"/>
    </row>
    <row r="13" spans="1:16">
      <c r="A13" s="3">
        <v>45377.736840277779</v>
      </c>
      <c r="B13" s="4" t="s">
        <v>7</v>
      </c>
      <c r="C13" s="4" t="s">
        <v>10</v>
      </c>
      <c r="D13" s="4">
        <v>441</v>
      </c>
      <c r="E13" s="5">
        <v>79</v>
      </c>
      <c r="F13"/>
      <c r="G13" t="s">
        <v>16</v>
      </c>
      <c r="H13" s="10">
        <v>6829</v>
      </c>
      <c r="I13"/>
      <c r="J13"/>
      <c r="K13"/>
      <c r="L13"/>
      <c r="M13"/>
      <c r="N13"/>
      <c r="O13"/>
      <c r="P13"/>
    </row>
    <row r="14" spans="1:16">
      <c r="A14" s="3">
        <v>45387.263159722221</v>
      </c>
      <c r="B14" s="4" t="s">
        <v>9</v>
      </c>
      <c r="C14" s="4" t="s">
        <v>8</v>
      </c>
      <c r="D14" s="4">
        <v>205</v>
      </c>
      <c r="E14" s="5">
        <v>23</v>
      </c>
      <c r="F14"/>
      <c r="G14"/>
      <c r="H14"/>
      <c r="I14"/>
      <c r="J14"/>
      <c r="K14"/>
      <c r="L14"/>
      <c r="M14"/>
      <c r="N14"/>
      <c r="O14"/>
      <c r="P14"/>
    </row>
    <row r="15" spans="1:16">
      <c r="A15" s="3">
        <v>45396.789479166669</v>
      </c>
      <c r="B15" s="4" t="s">
        <v>7</v>
      </c>
      <c r="C15" s="4" t="s">
        <v>10</v>
      </c>
      <c r="D15" s="4">
        <v>483</v>
      </c>
      <c r="E15" s="5">
        <v>97</v>
      </c>
      <c r="F15"/>
      <c r="G15"/>
      <c r="H15"/>
      <c r="I15"/>
      <c r="J15"/>
      <c r="K15"/>
      <c r="L15"/>
      <c r="M15"/>
      <c r="N15"/>
      <c r="O15"/>
      <c r="P15"/>
    </row>
    <row r="16" spans="1:16">
      <c r="A16" s="3">
        <v>45406.315787037034</v>
      </c>
      <c r="B16" s="4" t="s">
        <v>14</v>
      </c>
      <c r="C16" s="4" t="s">
        <v>8</v>
      </c>
      <c r="D16" s="4">
        <v>467</v>
      </c>
      <c r="E16" s="5">
        <v>97</v>
      </c>
      <c r="F16"/>
      <c r="G16"/>
      <c r="H16"/>
      <c r="I16"/>
      <c r="J16"/>
      <c r="K16"/>
      <c r="L16"/>
      <c r="M16"/>
      <c r="N16"/>
      <c r="O16"/>
      <c r="P16"/>
    </row>
    <row r="17" spans="1:16">
      <c r="A17" s="3">
        <v>45415.842106481483</v>
      </c>
      <c r="B17" s="4" t="s">
        <v>7</v>
      </c>
      <c r="C17" s="4" t="s">
        <v>8</v>
      </c>
      <c r="D17" s="4">
        <v>380</v>
      </c>
      <c r="E17" s="5">
        <v>92</v>
      </c>
      <c r="F17"/>
      <c r="G17"/>
      <c r="H17"/>
      <c r="I17"/>
      <c r="J17"/>
      <c r="K17"/>
      <c r="L17"/>
      <c r="M17"/>
      <c r="N17"/>
      <c r="O17"/>
      <c r="P17"/>
    </row>
    <row r="18" spans="1:16">
      <c r="A18" s="3">
        <v>45425.368425925924</v>
      </c>
      <c r="B18" s="4" t="s">
        <v>9</v>
      </c>
      <c r="C18" s="4" t="s">
        <v>10</v>
      </c>
      <c r="D18" s="4">
        <v>497</v>
      </c>
      <c r="E18" s="5">
        <v>71</v>
      </c>
      <c r="F18"/>
      <c r="G18"/>
      <c r="H18"/>
      <c r="I18"/>
      <c r="J18"/>
      <c r="K18"/>
      <c r="L18"/>
      <c r="M18"/>
      <c r="N18"/>
      <c r="O18"/>
      <c r="P18"/>
    </row>
    <row r="19" spans="1:16">
      <c r="A19" s="3">
        <v>45434.894733796296</v>
      </c>
      <c r="B19" s="4" t="s">
        <v>9</v>
      </c>
      <c r="C19" s="4" t="s">
        <v>8</v>
      </c>
      <c r="D19" s="4">
        <v>409</v>
      </c>
      <c r="E19" s="5">
        <v>81</v>
      </c>
      <c r="F19"/>
      <c r="G19"/>
      <c r="H19"/>
      <c r="I19"/>
      <c r="J19"/>
      <c r="K19"/>
      <c r="L19"/>
      <c r="M19"/>
      <c r="N19"/>
      <c r="O19"/>
      <c r="P19"/>
    </row>
    <row r="20" spans="1:16">
      <c r="A20" s="3">
        <v>45444.421053240738</v>
      </c>
      <c r="B20" s="4" t="s">
        <v>7</v>
      </c>
      <c r="C20" s="4" t="s">
        <v>10</v>
      </c>
      <c r="D20" s="4">
        <v>53</v>
      </c>
      <c r="E20" s="5">
        <v>45</v>
      </c>
      <c r="F20"/>
      <c r="G20"/>
      <c r="H20"/>
      <c r="I20"/>
      <c r="J20"/>
      <c r="K20"/>
      <c r="L20"/>
      <c r="M20"/>
      <c r="N20"/>
      <c r="O20"/>
      <c r="P20"/>
    </row>
    <row r="21" spans="1:16">
      <c r="A21" s="3">
        <v>45453.947372685187</v>
      </c>
      <c r="B21" s="4" t="s">
        <v>7</v>
      </c>
      <c r="C21" s="4" t="s">
        <v>11</v>
      </c>
      <c r="D21" s="4">
        <v>398</v>
      </c>
      <c r="E21" s="5">
        <v>33</v>
      </c>
      <c r="F21"/>
      <c r="G21"/>
      <c r="H21"/>
      <c r="I21"/>
      <c r="J21"/>
      <c r="K21"/>
      <c r="L21"/>
      <c r="M21"/>
      <c r="N21"/>
      <c r="O21"/>
      <c r="P21"/>
    </row>
    <row r="22" spans="1:16">
      <c r="A22" s="3">
        <v>45463.473680555559</v>
      </c>
      <c r="B22" s="4" t="s">
        <v>15</v>
      </c>
      <c r="C22" s="4" t="s">
        <v>10</v>
      </c>
      <c r="D22" s="4">
        <v>347</v>
      </c>
      <c r="E22" s="5">
        <v>35</v>
      </c>
      <c r="F22"/>
      <c r="G22"/>
      <c r="H22"/>
      <c r="I22"/>
      <c r="J22"/>
      <c r="K22"/>
      <c r="L22"/>
      <c r="M22"/>
      <c r="N22"/>
      <c r="O22"/>
      <c r="P22"/>
    </row>
    <row r="23" spans="1:16">
      <c r="A23" s="6">
        <v>45473</v>
      </c>
      <c r="B23" s="7" t="s">
        <v>9</v>
      </c>
      <c r="C23" s="7" t="s">
        <v>11</v>
      </c>
      <c r="D23" s="7">
        <v>319</v>
      </c>
      <c r="E23" s="8">
        <v>45</v>
      </c>
      <c r="F23"/>
      <c r="G23"/>
      <c r="H23"/>
      <c r="I23"/>
      <c r="J23"/>
      <c r="K23"/>
      <c r="L23"/>
      <c r="M23"/>
      <c r="N23"/>
      <c r="O23"/>
      <c r="P23"/>
    </row>
    <row r="24" spans="1:16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ht="43.5">
      <c r="A25" s="30" t="s">
        <v>17</v>
      </c>
      <c r="B25" s="14" t="s">
        <v>18</v>
      </c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>
      <c r="A26" s="13" t="s">
        <v>19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>
      <c r="A27" s="31" t="s">
        <v>2</v>
      </c>
      <c r="B27" s="2" t="s">
        <v>3</v>
      </c>
      <c r="C27" s="2" t="s">
        <v>4</v>
      </c>
      <c r="D27" s="16" t="s">
        <v>5</v>
      </c>
      <c r="E27" s="2" t="s">
        <v>6</v>
      </c>
      <c r="F27"/>
      <c r="G27"/>
      <c r="H27"/>
      <c r="I27"/>
      <c r="J27"/>
      <c r="K27"/>
      <c r="L27"/>
      <c r="M27"/>
      <c r="N27"/>
      <c r="O27"/>
      <c r="P27"/>
    </row>
    <row r="28" spans="1:16">
      <c r="A28" s="3">
        <v>45292</v>
      </c>
      <c r="B28" s="4" t="s">
        <v>7</v>
      </c>
      <c r="C28" s="4" t="s">
        <v>8</v>
      </c>
      <c r="D28" s="4">
        <v>456</v>
      </c>
      <c r="E28" s="5">
        <v>93</v>
      </c>
      <c r="F28"/>
      <c r="G28"/>
      <c r="H28"/>
      <c r="I28"/>
      <c r="J28"/>
      <c r="K28"/>
      <c r="L28"/>
      <c r="M28"/>
      <c r="N28"/>
      <c r="O28"/>
      <c r="P28"/>
    </row>
    <row r="29" spans="1:16">
      <c r="A29" s="3">
        <v>45301.526319444441</v>
      </c>
      <c r="B29" s="4" t="s">
        <v>9</v>
      </c>
      <c r="C29" s="4" t="s">
        <v>10</v>
      </c>
      <c r="D29" s="4">
        <v>348</v>
      </c>
      <c r="E29" s="5">
        <v>56</v>
      </c>
      <c r="F29"/>
      <c r="G29"/>
      <c r="H29"/>
      <c r="I29"/>
      <c r="J29"/>
      <c r="K29"/>
      <c r="L29"/>
      <c r="M29"/>
      <c r="N29"/>
      <c r="O29"/>
      <c r="P29"/>
    </row>
    <row r="30" spans="1:16">
      <c r="A30" s="3">
        <v>45311.052627314813</v>
      </c>
      <c r="B30" s="4" t="s">
        <v>9</v>
      </c>
      <c r="C30" s="4" t="s">
        <v>8</v>
      </c>
      <c r="D30" s="4">
        <v>247</v>
      </c>
      <c r="E30" s="5">
        <v>76</v>
      </c>
      <c r="F30"/>
      <c r="G30"/>
      <c r="H30"/>
      <c r="I30"/>
      <c r="J30"/>
      <c r="K30"/>
      <c r="L30"/>
      <c r="M30"/>
      <c r="N30"/>
      <c r="O30"/>
      <c r="P30"/>
    </row>
    <row r="31" spans="1:16">
      <c r="A31" s="3">
        <v>45320.578946759262</v>
      </c>
      <c r="B31" s="4" t="s">
        <v>7</v>
      </c>
      <c r="C31" s="4" t="s">
        <v>11</v>
      </c>
      <c r="D31" s="4">
        <v>230</v>
      </c>
      <c r="E31" s="5">
        <v>37</v>
      </c>
      <c r="F31"/>
      <c r="G31"/>
      <c r="H31"/>
      <c r="I31"/>
      <c r="J31"/>
      <c r="K31"/>
      <c r="L31"/>
      <c r="M31"/>
      <c r="N31"/>
      <c r="O31"/>
      <c r="P31"/>
    </row>
    <row r="32" spans="1:16">
      <c r="A32" s="3">
        <v>45330.105266203704</v>
      </c>
      <c r="B32" s="4" t="s">
        <v>7</v>
      </c>
      <c r="C32" s="4" t="s">
        <v>8</v>
      </c>
      <c r="D32" s="4">
        <v>281</v>
      </c>
      <c r="E32" s="5">
        <v>50</v>
      </c>
      <c r="F32"/>
      <c r="G32"/>
      <c r="H32"/>
      <c r="I32"/>
      <c r="J32"/>
      <c r="K32"/>
      <c r="L32"/>
      <c r="M32"/>
      <c r="N32"/>
      <c r="O32"/>
      <c r="P32"/>
    </row>
    <row r="33" spans="1:16">
      <c r="A33" s="3">
        <v>45339.631574074076</v>
      </c>
      <c r="B33" s="4" t="s">
        <v>7</v>
      </c>
      <c r="C33" s="4" t="s">
        <v>10</v>
      </c>
      <c r="D33" s="4">
        <v>334</v>
      </c>
      <c r="E33" s="5">
        <v>52</v>
      </c>
      <c r="F33"/>
      <c r="G33"/>
      <c r="H33"/>
      <c r="I33"/>
      <c r="J33"/>
      <c r="K33"/>
      <c r="L33"/>
      <c r="M33"/>
      <c r="N33"/>
      <c r="O33"/>
      <c r="P33"/>
    </row>
    <row r="34" spans="1:16">
      <c r="A34" s="3">
        <v>45349.157893518517</v>
      </c>
      <c r="B34" s="4" t="s">
        <v>9</v>
      </c>
      <c r="C34" s="4" t="s">
        <v>11</v>
      </c>
      <c r="D34" s="4">
        <v>417</v>
      </c>
      <c r="E34" s="5">
        <v>29</v>
      </c>
      <c r="F34"/>
      <c r="G34"/>
      <c r="H34"/>
      <c r="I34"/>
      <c r="J34"/>
      <c r="K34"/>
      <c r="L34"/>
      <c r="M34"/>
      <c r="N34"/>
      <c r="O34"/>
      <c r="P34"/>
    </row>
    <row r="35" spans="1:16">
      <c r="A35" s="3">
        <v>45358.684212962966</v>
      </c>
      <c r="B35" s="4" t="s">
        <v>7</v>
      </c>
      <c r="C35" s="4" t="s">
        <v>11</v>
      </c>
      <c r="D35" s="4">
        <v>441</v>
      </c>
      <c r="E35" s="5">
        <v>44</v>
      </c>
      <c r="F35"/>
      <c r="G35"/>
      <c r="H35"/>
      <c r="I35"/>
      <c r="J35"/>
      <c r="K35"/>
      <c r="L35"/>
      <c r="M35"/>
      <c r="N35"/>
      <c r="O35"/>
      <c r="P35"/>
    </row>
    <row r="36" spans="1:16">
      <c r="A36" s="3">
        <v>45368.210520833331</v>
      </c>
      <c r="B36" s="4" t="s">
        <v>9</v>
      </c>
      <c r="C36" s="4" t="s">
        <v>8</v>
      </c>
      <c r="D36" s="4">
        <v>76</v>
      </c>
      <c r="E36" s="5">
        <v>63</v>
      </c>
      <c r="F36"/>
      <c r="G36"/>
      <c r="H36"/>
      <c r="I36"/>
      <c r="J36"/>
      <c r="K36"/>
      <c r="L36"/>
      <c r="M36"/>
      <c r="N36"/>
      <c r="O36"/>
      <c r="P36"/>
    </row>
    <row r="37" spans="1:16">
      <c r="A37" s="3">
        <v>45377.736840277779</v>
      </c>
      <c r="B37" s="4" t="s">
        <v>7</v>
      </c>
      <c r="C37" s="4" t="s">
        <v>10</v>
      </c>
      <c r="D37" s="4">
        <v>441</v>
      </c>
      <c r="E37" s="5">
        <v>79</v>
      </c>
      <c r="F37"/>
      <c r="G37"/>
      <c r="H37"/>
      <c r="I37"/>
      <c r="J37"/>
      <c r="K37"/>
      <c r="L37"/>
      <c r="M37"/>
      <c r="N37"/>
      <c r="O37"/>
      <c r="P37"/>
    </row>
    <row r="38" spans="1:16">
      <c r="A38" s="3">
        <v>45387.263159722221</v>
      </c>
      <c r="B38" s="4" t="s">
        <v>9</v>
      </c>
      <c r="C38" s="4" t="s">
        <v>8</v>
      </c>
      <c r="D38" s="4">
        <v>205</v>
      </c>
      <c r="E38" s="5">
        <v>23</v>
      </c>
      <c r="F38"/>
      <c r="G38"/>
      <c r="H38"/>
      <c r="I38"/>
      <c r="J38"/>
      <c r="K38"/>
      <c r="L38"/>
      <c r="M38"/>
      <c r="N38"/>
      <c r="O38"/>
      <c r="P38"/>
    </row>
    <row r="39" spans="1:16">
      <c r="A39" s="3">
        <v>45396.789479166669</v>
      </c>
      <c r="B39" s="4" t="s">
        <v>7</v>
      </c>
      <c r="C39" s="4" t="s">
        <v>10</v>
      </c>
      <c r="D39" s="4">
        <v>483</v>
      </c>
      <c r="E39" s="5">
        <v>97</v>
      </c>
      <c r="F39"/>
      <c r="G39"/>
      <c r="H39"/>
      <c r="I39"/>
      <c r="J39"/>
      <c r="K39"/>
      <c r="L39"/>
      <c r="M39"/>
      <c r="N39"/>
      <c r="O39"/>
      <c r="P39"/>
    </row>
    <row r="40" spans="1:16">
      <c r="A40" s="3">
        <v>45406.315787037034</v>
      </c>
      <c r="B40" s="4" t="s">
        <v>14</v>
      </c>
      <c r="C40" s="4" t="s">
        <v>8</v>
      </c>
      <c r="D40" s="4">
        <v>467</v>
      </c>
      <c r="E40" s="5">
        <v>97</v>
      </c>
      <c r="F40"/>
      <c r="G40"/>
      <c r="H40"/>
      <c r="I40"/>
      <c r="J40"/>
      <c r="K40"/>
      <c r="L40"/>
      <c r="M40"/>
      <c r="N40"/>
      <c r="O40"/>
      <c r="P40"/>
    </row>
    <row r="41" spans="1:16">
      <c r="A41" s="3">
        <v>45415.842106481483</v>
      </c>
      <c r="B41" s="4" t="s">
        <v>7</v>
      </c>
      <c r="C41" s="4" t="s">
        <v>8</v>
      </c>
      <c r="D41" s="4">
        <v>380</v>
      </c>
      <c r="E41" s="5">
        <v>92</v>
      </c>
      <c r="F41"/>
      <c r="G41"/>
      <c r="H41"/>
      <c r="I41"/>
      <c r="J41"/>
      <c r="K41"/>
      <c r="L41"/>
      <c r="M41"/>
      <c r="N41"/>
      <c r="O41"/>
      <c r="P41"/>
    </row>
    <row r="42" spans="1:16">
      <c r="A42" s="3">
        <v>45425.368425925924</v>
      </c>
      <c r="B42" s="4" t="s">
        <v>9</v>
      </c>
      <c r="C42" s="4" t="s">
        <v>10</v>
      </c>
      <c r="D42" s="4">
        <v>497</v>
      </c>
      <c r="E42" s="5">
        <v>71</v>
      </c>
      <c r="F42"/>
      <c r="G42"/>
      <c r="H42"/>
      <c r="I42"/>
      <c r="J42"/>
      <c r="K42"/>
      <c r="L42"/>
      <c r="M42"/>
      <c r="N42"/>
      <c r="O42"/>
      <c r="P42"/>
    </row>
    <row r="43" spans="1:16">
      <c r="A43" s="3">
        <v>45434.894733796296</v>
      </c>
      <c r="B43" s="4" t="s">
        <v>9</v>
      </c>
      <c r="C43" s="4" t="s">
        <v>8</v>
      </c>
      <c r="D43" s="4">
        <v>409</v>
      </c>
      <c r="E43" s="5">
        <v>81</v>
      </c>
      <c r="F43"/>
      <c r="G43"/>
      <c r="H43"/>
      <c r="I43"/>
      <c r="J43"/>
      <c r="K43"/>
      <c r="L43"/>
      <c r="M43"/>
      <c r="N43"/>
      <c r="O43"/>
      <c r="P43"/>
    </row>
    <row r="44" spans="1:16">
      <c r="A44" s="3">
        <v>45444.421053240738</v>
      </c>
      <c r="B44" s="4" t="s">
        <v>7</v>
      </c>
      <c r="C44" s="4" t="s">
        <v>10</v>
      </c>
      <c r="D44" s="4">
        <v>53</v>
      </c>
      <c r="E44" s="5">
        <v>45</v>
      </c>
      <c r="F44"/>
      <c r="G44"/>
      <c r="H44"/>
      <c r="I44"/>
      <c r="J44"/>
      <c r="K44"/>
      <c r="L44"/>
      <c r="M44"/>
      <c r="N44"/>
      <c r="O44"/>
      <c r="P44"/>
    </row>
    <row r="45" spans="1:16">
      <c r="A45" s="3">
        <v>45453.947372685187</v>
      </c>
      <c r="B45" s="4" t="s">
        <v>7</v>
      </c>
      <c r="C45" s="4" t="s">
        <v>11</v>
      </c>
      <c r="D45" s="4">
        <v>398</v>
      </c>
      <c r="E45" s="5">
        <v>33</v>
      </c>
      <c r="F45"/>
      <c r="G45"/>
      <c r="H45"/>
      <c r="I45"/>
      <c r="J45"/>
      <c r="K45"/>
      <c r="L45"/>
      <c r="M45"/>
      <c r="N45"/>
      <c r="O45"/>
      <c r="P45"/>
    </row>
    <row r="46" spans="1:16">
      <c r="A46" s="3">
        <v>45463.473680555559</v>
      </c>
      <c r="B46" s="4" t="s">
        <v>15</v>
      </c>
      <c r="C46" s="4" t="s">
        <v>10</v>
      </c>
      <c r="D46" s="4">
        <v>347</v>
      </c>
      <c r="E46" s="5">
        <v>35</v>
      </c>
      <c r="F46"/>
      <c r="G46"/>
      <c r="H46"/>
      <c r="I46"/>
      <c r="J46"/>
      <c r="K46"/>
      <c r="L46"/>
      <c r="M46"/>
      <c r="N46"/>
      <c r="O46"/>
      <c r="P46"/>
    </row>
    <row r="47" spans="1:16">
      <c r="A47" s="6">
        <v>45473</v>
      </c>
      <c r="B47" s="7" t="s">
        <v>9</v>
      </c>
      <c r="C47" s="7" t="s">
        <v>11</v>
      </c>
      <c r="D47" s="7">
        <v>319</v>
      </c>
      <c r="E47" s="8">
        <v>45</v>
      </c>
      <c r="F47"/>
      <c r="G47"/>
      <c r="H47"/>
      <c r="I47"/>
      <c r="J47"/>
      <c r="K47"/>
      <c r="L47"/>
      <c r="M47"/>
      <c r="N47"/>
      <c r="O47"/>
      <c r="P47"/>
    </row>
    <row r="48" spans="1:16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ht="43.5">
      <c r="A49" s="15" t="s">
        <v>20</v>
      </c>
      <c r="B49" s="17" t="s">
        <v>21</v>
      </c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>
      <c r="A50"/>
      <c r="B50"/>
      <c r="C50"/>
      <c r="D50"/>
      <c r="E50"/>
      <c r="F50"/>
      <c r="G50"/>
      <c r="H50"/>
      <c r="I50"/>
      <c r="J50" t="s">
        <v>12</v>
      </c>
      <c r="K50"/>
      <c r="L50"/>
      <c r="M50"/>
      <c r="N50"/>
      <c r="O50"/>
      <c r="P50"/>
    </row>
    <row r="51" spans="1:16">
      <c r="A51" s="1" t="s">
        <v>2</v>
      </c>
      <c r="B51" s="2" t="s">
        <v>3</v>
      </c>
      <c r="C51" s="2" t="s">
        <v>4</v>
      </c>
      <c r="D51" s="2" t="s">
        <v>5</v>
      </c>
      <c r="E51" s="18" t="s">
        <v>6</v>
      </c>
      <c r="F51" s="27" t="s">
        <v>22</v>
      </c>
      <c r="G51"/>
      <c r="H51"/>
      <c r="I51"/>
      <c r="J51"/>
      <c r="K51"/>
      <c r="L51"/>
      <c r="M51"/>
      <c r="N51"/>
      <c r="O51"/>
      <c r="P51"/>
    </row>
    <row r="52" spans="1:16">
      <c r="A52" s="3">
        <v>45292</v>
      </c>
      <c r="B52" s="4" t="s">
        <v>7</v>
      </c>
      <c r="C52" s="4" t="s">
        <v>8</v>
      </c>
      <c r="D52" s="4">
        <v>456</v>
      </c>
      <c r="E52" s="19">
        <v>93</v>
      </c>
      <c r="F52" s="26" t="str">
        <f t="shared" ref="F52:F71" si="0">TEXT(A52,"YYYY-MM")</f>
        <v>2024-01</v>
      </c>
      <c r="G52"/>
      <c r="H52"/>
      <c r="I52"/>
      <c r="J52"/>
      <c r="K52"/>
      <c r="L52"/>
      <c r="M52"/>
      <c r="N52"/>
      <c r="O52"/>
      <c r="P52"/>
    </row>
    <row r="53" spans="1:16">
      <c r="A53" s="3">
        <v>45301.526319444441</v>
      </c>
      <c r="B53" s="4" t="s">
        <v>9</v>
      </c>
      <c r="C53" s="4" t="s">
        <v>10</v>
      </c>
      <c r="D53" s="4">
        <v>348</v>
      </c>
      <c r="E53" s="19">
        <v>56</v>
      </c>
      <c r="F53" s="26" t="str">
        <f t="shared" si="0"/>
        <v>2024-01</v>
      </c>
      <c r="G53"/>
      <c r="H53"/>
      <c r="I53"/>
      <c r="J53"/>
      <c r="K53"/>
      <c r="L53"/>
      <c r="M53"/>
      <c r="N53"/>
      <c r="O53"/>
      <c r="P53"/>
    </row>
    <row r="54" spans="1:16">
      <c r="A54" s="3">
        <v>45311.052627314813</v>
      </c>
      <c r="B54" s="4" t="s">
        <v>9</v>
      </c>
      <c r="C54" s="4" t="s">
        <v>8</v>
      </c>
      <c r="D54" s="4">
        <v>247</v>
      </c>
      <c r="E54" s="19">
        <v>76</v>
      </c>
      <c r="F54" s="26" t="str">
        <f t="shared" si="0"/>
        <v>2024-01</v>
      </c>
      <c r="G54"/>
      <c r="H54" s="9" t="s">
        <v>22</v>
      </c>
      <c r="I54" t="s">
        <v>13</v>
      </c>
      <c r="J54"/>
      <c r="K54"/>
      <c r="L54"/>
      <c r="M54"/>
      <c r="N54"/>
      <c r="O54"/>
      <c r="P54"/>
    </row>
    <row r="55" spans="1:16">
      <c r="A55" s="3">
        <v>45320.578946759262</v>
      </c>
      <c r="B55" s="4" t="s">
        <v>7</v>
      </c>
      <c r="C55" s="4" t="s">
        <v>11</v>
      </c>
      <c r="D55" s="4">
        <v>230</v>
      </c>
      <c r="E55" s="19">
        <v>37</v>
      </c>
      <c r="F55" s="26" t="str">
        <f t="shared" si="0"/>
        <v>2024-01</v>
      </c>
      <c r="G55"/>
      <c r="H55" t="s">
        <v>23</v>
      </c>
      <c r="I55" s="10">
        <v>1281</v>
      </c>
      <c r="J55"/>
      <c r="K55"/>
      <c r="L55"/>
      <c r="M55"/>
      <c r="N55"/>
      <c r="O55"/>
      <c r="P55"/>
    </row>
    <row r="56" spans="1:16">
      <c r="A56" s="3">
        <v>45330.105266203704</v>
      </c>
      <c r="B56" s="4" t="s">
        <v>7</v>
      </c>
      <c r="C56" s="4" t="s">
        <v>8</v>
      </c>
      <c r="D56" s="4">
        <v>281</v>
      </c>
      <c r="E56" s="19">
        <v>50</v>
      </c>
      <c r="F56" s="26" t="str">
        <f t="shared" si="0"/>
        <v>2024-02</v>
      </c>
      <c r="G56"/>
      <c r="H56" t="s">
        <v>24</v>
      </c>
      <c r="I56" s="10">
        <v>1032</v>
      </c>
      <c r="J56"/>
      <c r="K56"/>
      <c r="L56"/>
      <c r="M56"/>
      <c r="N56"/>
      <c r="O56"/>
      <c r="P56"/>
    </row>
    <row r="57" spans="1:16">
      <c r="A57" s="3">
        <v>45339.631574074076</v>
      </c>
      <c r="B57" s="4" t="s">
        <v>7</v>
      </c>
      <c r="C57" s="4" t="s">
        <v>10</v>
      </c>
      <c r="D57" s="4">
        <v>334</v>
      </c>
      <c r="E57" s="19">
        <v>52</v>
      </c>
      <c r="F57" s="26" t="str">
        <f t="shared" si="0"/>
        <v>2024-02</v>
      </c>
      <c r="G57"/>
      <c r="H57" t="s">
        <v>25</v>
      </c>
      <c r="I57" s="10">
        <v>958</v>
      </c>
      <c r="J57"/>
      <c r="K57"/>
      <c r="L57"/>
      <c r="M57"/>
      <c r="N57"/>
      <c r="O57"/>
      <c r="P57"/>
    </row>
    <row r="58" spans="1:16">
      <c r="A58" s="3">
        <v>45349.157893518517</v>
      </c>
      <c r="B58" s="4" t="s">
        <v>9</v>
      </c>
      <c r="C58" s="4" t="s">
        <v>11</v>
      </c>
      <c r="D58" s="4">
        <v>417</v>
      </c>
      <c r="E58" s="19">
        <v>29</v>
      </c>
      <c r="F58" s="26" t="str">
        <f t="shared" si="0"/>
        <v>2024-02</v>
      </c>
      <c r="G58"/>
      <c r="H58" t="s">
        <v>26</v>
      </c>
      <c r="I58" s="10">
        <v>1155</v>
      </c>
      <c r="J58"/>
      <c r="K58"/>
      <c r="L58"/>
      <c r="M58"/>
      <c r="N58"/>
      <c r="O58"/>
      <c r="P58"/>
    </row>
    <row r="59" spans="1:16">
      <c r="A59" s="3">
        <v>45358.684212962966</v>
      </c>
      <c r="B59" s="4" t="s">
        <v>7</v>
      </c>
      <c r="C59" s="4" t="s">
        <v>11</v>
      </c>
      <c r="D59" s="4">
        <v>441</v>
      </c>
      <c r="E59" s="19">
        <v>44</v>
      </c>
      <c r="F59" s="26" t="str">
        <f t="shared" si="0"/>
        <v>2024-03</v>
      </c>
      <c r="G59"/>
      <c r="H59" t="s">
        <v>27</v>
      </c>
      <c r="I59" s="10">
        <v>1286</v>
      </c>
      <c r="J59"/>
      <c r="K59"/>
      <c r="L59"/>
      <c r="M59"/>
      <c r="N59"/>
      <c r="O59"/>
      <c r="P59"/>
    </row>
    <row r="60" spans="1:16">
      <c r="A60" s="3">
        <v>45368.210520833331</v>
      </c>
      <c r="B60" s="4" t="s">
        <v>9</v>
      </c>
      <c r="C60" s="4" t="s">
        <v>8</v>
      </c>
      <c r="D60" s="4">
        <v>76</v>
      </c>
      <c r="E60" s="19">
        <v>63</v>
      </c>
      <c r="F60" s="26" t="str">
        <f t="shared" si="0"/>
        <v>2024-03</v>
      </c>
      <c r="G60"/>
      <c r="H60" t="s">
        <v>28</v>
      </c>
      <c r="I60" s="10">
        <v>1117</v>
      </c>
      <c r="J60"/>
      <c r="K60"/>
      <c r="L60"/>
      <c r="M60"/>
      <c r="N60"/>
      <c r="O60"/>
      <c r="P60"/>
    </row>
    <row r="61" spans="1:16">
      <c r="A61" s="3">
        <v>45377.736840277779</v>
      </c>
      <c r="B61" s="4" t="s">
        <v>7</v>
      </c>
      <c r="C61" s="4" t="s">
        <v>10</v>
      </c>
      <c r="D61" s="4">
        <v>441</v>
      </c>
      <c r="E61" s="19">
        <v>79</v>
      </c>
      <c r="F61" s="26" t="str">
        <f t="shared" si="0"/>
        <v>2024-03</v>
      </c>
      <c r="G61"/>
      <c r="H61" t="s">
        <v>16</v>
      </c>
      <c r="I61" s="10">
        <v>6829</v>
      </c>
      <c r="J61"/>
      <c r="K61"/>
      <c r="L61"/>
      <c r="M61"/>
      <c r="N61"/>
      <c r="O61"/>
      <c r="P61"/>
    </row>
    <row r="62" spans="1:16">
      <c r="A62" s="3">
        <v>45387.263159722221</v>
      </c>
      <c r="B62" s="4" t="s">
        <v>9</v>
      </c>
      <c r="C62" s="4" t="s">
        <v>8</v>
      </c>
      <c r="D62" s="4">
        <v>205</v>
      </c>
      <c r="E62" s="19">
        <v>23</v>
      </c>
      <c r="F62" s="26" t="str">
        <f t="shared" si="0"/>
        <v>2024-04</v>
      </c>
      <c r="G62"/>
      <c r="H62"/>
      <c r="I62"/>
      <c r="J62"/>
      <c r="K62"/>
      <c r="L62"/>
      <c r="M62"/>
      <c r="N62"/>
      <c r="O62"/>
      <c r="P62"/>
    </row>
    <row r="63" spans="1:16">
      <c r="A63" s="3">
        <v>45396.789479166669</v>
      </c>
      <c r="B63" s="4" t="s">
        <v>7</v>
      </c>
      <c r="C63" s="4" t="s">
        <v>10</v>
      </c>
      <c r="D63" s="4">
        <v>483</v>
      </c>
      <c r="E63" s="19">
        <v>97</v>
      </c>
      <c r="F63" s="26" t="str">
        <f>TEXT(A63,"YYYY-MM")</f>
        <v>2024-04</v>
      </c>
      <c r="G63"/>
      <c r="H63"/>
      <c r="I63"/>
      <c r="J63"/>
      <c r="K63"/>
      <c r="L63"/>
      <c r="M63"/>
      <c r="N63"/>
      <c r="O63"/>
      <c r="P63"/>
    </row>
    <row r="64" spans="1:16">
      <c r="A64" s="3">
        <v>45406.315787037034</v>
      </c>
      <c r="B64" s="4" t="s">
        <v>14</v>
      </c>
      <c r="C64" s="4" t="s">
        <v>8</v>
      </c>
      <c r="D64" s="4">
        <v>467</v>
      </c>
      <c r="E64" s="19">
        <v>97</v>
      </c>
      <c r="F64" s="26" t="str">
        <f t="shared" si="0"/>
        <v>2024-04</v>
      </c>
      <c r="G64"/>
      <c r="H64"/>
      <c r="I64"/>
      <c r="J64"/>
      <c r="K64"/>
      <c r="L64"/>
      <c r="M64"/>
      <c r="N64"/>
      <c r="O64"/>
      <c r="P64"/>
    </row>
    <row r="65" spans="1:16">
      <c r="A65" s="3">
        <v>45415.842106481483</v>
      </c>
      <c r="B65" s="4" t="s">
        <v>7</v>
      </c>
      <c r="C65" s="4" t="s">
        <v>8</v>
      </c>
      <c r="D65" s="4">
        <v>380</v>
      </c>
      <c r="E65" s="19">
        <v>92</v>
      </c>
      <c r="F65" s="26" t="str">
        <f t="shared" si="0"/>
        <v>2024-05</v>
      </c>
      <c r="G65"/>
      <c r="H65"/>
      <c r="I65"/>
      <c r="J65"/>
      <c r="K65"/>
      <c r="L65"/>
      <c r="M65"/>
      <c r="N65"/>
      <c r="O65"/>
      <c r="P65"/>
    </row>
    <row r="66" spans="1:16">
      <c r="A66" s="3">
        <v>45425.368425925924</v>
      </c>
      <c r="B66" s="4" t="s">
        <v>9</v>
      </c>
      <c r="C66" s="4" t="s">
        <v>10</v>
      </c>
      <c r="D66" s="4">
        <v>497</v>
      </c>
      <c r="E66" s="19">
        <v>71</v>
      </c>
      <c r="F66" s="26" t="str">
        <f t="shared" si="0"/>
        <v>2024-05</v>
      </c>
      <c r="G66"/>
      <c r="H66"/>
      <c r="I66"/>
      <c r="J66"/>
      <c r="K66"/>
      <c r="L66"/>
      <c r="M66"/>
      <c r="N66"/>
      <c r="O66"/>
      <c r="P66"/>
    </row>
    <row r="67" spans="1:16">
      <c r="A67" s="3">
        <v>45434.894733796296</v>
      </c>
      <c r="B67" s="4" t="s">
        <v>9</v>
      </c>
      <c r="C67" s="4" t="s">
        <v>8</v>
      </c>
      <c r="D67" s="4">
        <v>409</v>
      </c>
      <c r="E67" s="19">
        <v>81</v>
      </c>
      <c r="F67" s="26" t="str">
        <f t="shared" si="0"/>
        <v>2024-05</v>
      </c>
      <c r="G67"/>
      <c r="H67"/>
      <c r="I67"/>
      <c r="J67"/>
      <c r="K67"/>
      <c r="L67"/>
      <c r="M67"/>
      <c r="N67"/>
      <c r="O67"/>
      <c r="P67"/>
    </row>
    <row r="68" spans="1:16">
      <c r="A68" s="3">
        <v>45444.421053240738</v>
      </c>
      <c r="B68" s="4" t="s">
        <v>7</v>
      </c>
      <c r="C68" s="4" t="s">
        <v>10</v>
      </c>
      <c r="D68" s="4">
        <v>53</v>
      </c>
      <c r="E68" s="19">
        <v>45</v>
      </c>
      <c r="F68" s="26" t="str">
        <f t="shared" si="0"/>
        <v>2024-06</v>
      </c>
      <c r="G68"/>
      <c r="H68"/>
      <c r="I68"/>
      <c r="J68"/>
      <c r="K68"/>
      <c r="L68"/>
      <c r="M68"/>
      <c r="N68"/>
      <c r="O68"/>
      <c r="P68"/>
    </row>
    <row r="69" spans="1:16">
      <c r="A69" s="3">
        <v>45453.947372685187</v>
      </c>
      <c r="B69" s="4" t="s">
        <v>7</v>
      </c>
      <c r="C69" s="4" t="s">
        <v>11</v>
      </c>
      <c r="D69" s="4">
        <v>398</v>
      </c>
      <c r="E69" s="19">
        <v>33</v>
      </c>
      <c r="F69" s="26" t="str">
        <f t="shared" si="0"/>
        <v>2024-06</v>
      </c>
      <c r="G69"/>
      <c r="H69"/>
      <c r="I69"/>
      <c r="J69"/>
      <c r="K69"/>
      <c r="L69"/>
      <c r="M69"/>
      <c r="N69"/>
      <c r="O69"/>
      <c r="P69"/>
    </row>
    <row r="70" spans="1:16">
      <c r="A70" s="3">
        <v>45463.473680555559</v>
      </c>
      <c r="B70" s="4" t="s">
        <v>15</v>
      </c>
      <c r="C70" s="4" t="s">
        <v>10</v>
      </c>
      <c r="D70" s="4">
        <v>347</v>
      </c>
      <c r="E70" s="19">
        <v>35</v>
      </c>
      <c r="F70" s="26" t="str">
        <f t="shared" si="0"/>
        <v>2024-06</v>
      </c>
      <c r="G70"/>
      <c r="H70"/>
      <c r="I70"/>
      <c r="J70"/>
      <c r="K70"/>
      <c r="L70"/>
      <c r="M70"/>
      <c r="N70"/>
      <c r="O70"/>
      <c r="P70"/>
    </row>
    <row r="71" spans="1:16">
      <c r="A71" s="6">
        <v>45473</v>
      </c>
      <c r="B71" s="7" t="s">
        <v>9</v>
      </c>
      <c r="C71" s="7" t="s">
        <v>11</v>
      </c>
      <c r="D71" s="7">
        <v>319</v>
      </c>
      <c r="E71" s="20">
        <v>45</v>
      </c>
      <c r="F71" s="26" t="str">
        <f t="shared" si="0"/>
        <v>2024-06</v>
      </c>
      <c r="G71"/>
      <c r="H71"/>
      <c r="I71"/>
      <c r="J71"/>
      <c r="K71"/>
      <c r="L71"/>
      <c r="M71"/>
      <c r="N71"/>
      <c r="O71"/>
      <c r="P71"/>
    </row>
    <row r="72" spans="1:16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</row>
    <row r="73" spans="1:16" ht="54">
      <c r="A73" s="23" t="s">
        <v>29</v>
      </c>
      <c r="B73" s="22" t="s">
        <v>30</v>
      </c>
      <c r="C73"/>
      <c r="D73"/>
      <c r="E73"/>
      <c r="F73"/>
      <c r="G73"/>
      <c r="H73"/>
      <c r="I73"/>
      <c r="J73"/>
      <c r="K73"/>
      <c r="L73"/>
      <c r="M73"/>
      <c r="N73"/>
      <c r="O73"/>
      <c r="P73"/>
    </row>
    <row r="74" spans="1:16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</row>
    <row r="75" spans="1:16">
      <c r="A75" s="1" t="s">
        <v>2</v>
      </c>
      <c r="B75" s="2" t="s">
        <v>3</v>
      </c>
      <c r="C75" s="2" t="s">
        <v>4</v>
      </c>
      <c r="D75" s="2" t="s">
        <v>5</v>
      </c>
      <c r="E75" s="2" t="s">
        <v>6</v>
      </c>
      <c r="F75"/>
      <c r="G75"/>
      <c r="H75"/>
      <c r="I75" t="s">
        <v>12</v>
      </c>
      <c r="J75"/>
      <c r="K75"/>
      <c r="L75"/>
      <c r="M75"/>
      <c r="N75"/>
      <c r="O75"/>
      <c r="P75"/>
    </row>
    <row r="76" spans="1:16">
      <c r="A76" s="3">
        <v>45292</v>
      </c>
      <c r="B76" s="4" t="s">
        <v>7</v>
      </c>
      <c r="C76" s="4" t="s">
        <v>8</v>
      </c>
      <c r="D76" s="4">
        <v>456</v>
      </c>
      <c r="E76" s="5">
        <v>93</v>
      </c>
      <c r="F76"/>
      <c r="G76"/>
      <c r="H76"/>
      <c r="I76"/>
      <c r="J76"/>
      <c r="K76"/>
      <c r="L76"/>
      <c r="M76"/>
      <c r="N76"/>
      <c r="O76"/>
      <c r="P76"/>
    </row>
    <row r="77" spans="1:16">
      <c r="A77" s="3">
        <v>45301.526319444441</v>
      </c>
      <c r="B77" s="4" t="s">
        <v>9</v>
      </c>
      <c r="C77" s="4" t="s">
        <v>10</v>
      </c>
      <c r="D77" s="4">
        <v>348</v>
      </c>
      <c r="E77" s="5">
        <v>56</v>
      </c>
      <c r="F77"/>
      <c r="G77"/>
      <c r="H77"/>
      <c r="I77"/>
      <c r="J77"/>
      <c r="K77"/>
      <c r="L77"/>
      <c r="M77"/>
      <c r="N77"/>
      <c r="O77"/>
      <c r="P77"/>
    </row>
    <row r="78" spans="1:16">
      <c r="A78" s="3">
        <v>45311.052627314813</v>
      </c>
      <c r="B78" s="4" t="s">
        <v>9</v>
      </c>
      <c r="C78" s="4" t="s">
        <v>8</v>
      </c>
      <c r="D78" s="4">
        <v>247</v>
      </c>
      <c r="E78" s="5">
        <v>76</v>
      </c>
      <c r="F78"/>
      <c r="G78"/>
      <c r="H78"/>
      <c r="I78"/>
      <c r="J78"/>
      <c r="K78"/>
      <c r="L78"/>
      <c r="M78"/>
      <c r="N78"/>
      <c r="O78"/>
      <c r="P78"/>
    </row>
    <row r="79" spans="1:16">
      <c r="A79" s="3">
        <v>45320.578946759262</v>
      </c>
      <c r="B79" s="4" t="s">
        <v>7</v>
      </c>
      <c r="C79" s="4" t="s">
        <v>11</v>
      </c>
      <c r="D79" s="4">
        <v>230</v>
      </c>
      <c r="E79" s="5">
        <v>37</v>
      </c>
      <c r="F79"/>
      <c r="G79" s="9" t="s">
        <v>4</v>
      </c>
      <c r="H79" t="s">
        <v>13</v>
      </c>
      <c r="I79"/>
      <c r="J79"/>
      <c r="K79"/>
      <c r="L79"/>
      <c r="M79"/>
      <c r="N79"/>
      <c r="O79"/>
      <c r="P79"/>
    </row>
    <row r="80" spans="1:16">
      <c r="A80" s="3">
        <v>45330.105266203704</v>
      </c>
      <c r="B80" s="4" t="s">
        <v>7</v>
      </c>
      <c r="C80" s="4" t="s">
        <v>8</v>
      </c>
      <c r="D80" s="4">
        <v>281</v>
      </c>
      <c r="E80" s="5">
        <v>50</v>
      </c>
      <c r="F80"/>
      <c r="G80" t="s">
        <v>11</v>
      </c>
      <c r="H80" s="10">
        <v>1805</v>
      </c>
      <c r="I80"/>
      <c r="J80"/>
      <c r="K80"/>
      <c r="L80"/>
      <c r="M80"/>
      <c r="N80"/>
      <c r="O80"/>
      <c r="P80"/>
    </row>
    <row r="81" spans="1:16">
      <c r="A81" s="3">
        <v>45339.631574074076</v>
      </c>
      <c r="B81" s="4" t="s">
        <v>7</v>
      </c>
      <c r="C81" s="4" t="s">
        <v>10</v>
      </c>
      <c r="D81" s="4">
        <v>334</v>
      </c>
      <c r="E81" s="5">
        <v>52</v>
      </c>
      <c r="F81"/>
      <c r="G81" t="s">
        <v>8</v>
      </c>
      <c r="H81" s="10">
        <v>2521</v>
      </c>
      <c r="I81"/>
      <c r="J81"/>
      <c r="K81"/>
      <c r="L81"/>
      <c r="M81"/>
      <c r="N81"/>
      <c r="O81"/>
      <c r="P81"/>
    </row>
    <row r="82" spans="1:16">
      <c r="A82" s="3">
        <v>45349.157893518517</v>
      </c>
      <c r="B82" s="4" t="s">
        <v>9</v>
      </c>
      <c r="C82" s="4" t="s">
        <v>11</v>
      </c>
      <c r="D82" s="4">
        <v>417</v>
      </c>
      <c r="E82" s="5">
        <v>29</v>
      </c>
      <c r="F82"/>
      <c r="G82" t="s">
        <v>10</v>
      </c>
      <c r="H82" s="10">
        <v>2503</v>
      </c>
      <c r="I82"/>
      <c r="J82"/>
      <c r="K82"/>
      <c r="L82"/>
      <c r="M82"/>
      <c r="N82"/>
      <c r="O82"/>
      <c r="P82"/>
    </row>
    <row r="83" spans="1:16">
      <c r="A83" s="3">
        <v>45358.684212962966</v>
      </c>
      <c r="B83" s="4" t="s">
        <v>7</v>
      </c>
      <c r="C83" s="4" t="s">
        <v>11</v>
      </c>
      <c r="D83" s="4">
        <v>441</v>
      </c>
      <c r="E83" s="5">
        <v>44</v>
      </c>
      <c r="F83"/>
      <c r="G83" t="s">
        <v>16</v>
      </c>
      <c r="H83" s="10">
        <v>6829</v>
      </c>
      <c r="I83"/>
      <c r="J83"/>
      <c r="K83"/>
      <c r="L83"/>
      <c r="M83"/>
      <c r="N83"/>
      <c r="O83"/>
      <c r="P83"/>
    </row>
    <row r="84" spans="1:16">
      <c r="A84" s="3">
        <v>45368.210520833331</v>
      </c>
      <c r="B84" s="4" t="s">
        <v>9</v>
      </c>
      <c r="C84" s="4" t="s">
        <v>8</v>
      </c>
      <c r="D84" s="4">
        <v>76</v>
      </c>
      <c r="E84" s="5">
        <v>63</v>
      </c>
      <c r="F84"/>
      <c r="G84"/>
      <c r="H84"/>
      <c r="I84"/>
      <c r="J84"/>
      <c r="K84"/>
      <c r="L84"/>
      <c r="M84"/>
      <c r="N84"/>
      <c r="O84"/>
      <c r="P84"/>
    </row>
    <row r="85" spans="1:16">
      <c r="A85" s="3">
        <v>45377.736840277779</v>
      </c>
      <c r="B85" s="4" t="s">
        <v>7</v>
      </c>
      <c r="C85" s="4" t="s">
        <v>10</v>
      </c>
      <c r="D85" s="4">
        <v>441</v>
      </c>
      <c r="E85" s="5">
        <v>79</v>
      </c>
      <c r="F85"/>
      <c r="G85"/>
      <c r="H85"/>
      <c r="I85"/>
      <c r="J85"/>
      <c r="K85"/>
      <c r="L85"/>
      <c r="M85"/>
      <c r="N85"/>
      <c r="O85"/>
      <c r="P85"/>
    </row>
    <row r="86" spans="1:16">
      <c r="A86" s="3">
        <v>45387.263159722221</v>
      </c>
      <c r="B86" s="4" t="s">
        <v>9</v>
      </c>
      <c r="C86" s="4" t="s">
        <v>8</v>
      </c>
      <c r="D86" s="4">
        <v>205</v>
      </c>
      <c r="E86" s="5">
        <v>23</v>
      </c>
      <c r="F86"/>
      <c r="G86"/>
      <c r="H86"/>
      <c r="I86"/>
      <c r="J86"/>
      <c r="K86"/>
      <c r="L86"/>
      <c r="M86"/>
      <c r="N86"/>
      <c r="O86"/>
      <c r="P86"/>
    </row>
    <row r="87" spans="1:16">
      <c r="A87" s="3">
        <v>45396.789479166669</v>
      </c>
      <c r="B87" s="4" t="s">
        <v>7</v>
      </c>
      <c r="C87" s="4" t="s">
        <v>10</v>
      </c>
      <c r="D87" s="4">
        <v>483</v>
      </c>
      <c r="E87" s="5">
        <v>97</v>
      </c>
      <c r="F87"/>
      <c r="G87"/>
      <c r="H87"/>
      <c r="I87"/>
      <c r="J87"/>
      <c r="K87"/>
      <c r="L87"/>
      <c r="M87"/>
      <c r="N87"/>
      <c r="O87"/>
      <c r="P87"/>
    </row>
    <row r="88" spans="1:16">
      <c r="A88" s="3">
        <v>45406.315787037034</v>
      </c>
      <c r="B88" s="4" t="s">
        <v>14</v>
      </c>
      <c r="C88" s="4" t="s">
        <v>8</v>
      </c>
      <c r="D88" s="4">
        <v>467</v>
      </c>
      <c r="E88" s="5">
        <v>97</v>
      </c>
      <c r="F88"/>
      <c r="G88"/>
      <c r="H88"/>
      <c r="I88"/>
      <c r="J88"/>
      <c r="K88"/>
      <c r="L88"/>
      <c r="M88"/>
      <c r="N88"/>
      <c r="O88"/>
      <c r="P88"/>
    </row>
    <row r="89" spans="1:16">
      <c r="A89" s="3">
        <v>45415.842106481483</v>
      </c>
      <c r="B89" s="4" t="s">
        <v>7</v>
      </c>
      <c r="C89" s="4" t="s">
        <v>8</v>
      </c>
      <c r="D89" s="4">
        <v>380</v>
      </c>
      <c r="E89" s="5">
        <v>92</v>
      </c>
      <c r="F89"/>
      <c r="G89"/>
      <c r="H89"/>
      <c r="I89"/>
      <c r="J89"/>
      <c r="K89"/>
      <c r="L89"/>
      <c r="M89"/>
      <c r="N89"/>
      <c r="O89"/>
      <c r="P89"/>
    </row>
    <row r="90" spans="1:16">
      <c r="A90" s="3">
        <v>45425.368425925924</v>
      </c>
      <c r="B90" s="4" t="s">
        <v>9</v>
      </c>
      <c r="C90" s="4" t="s">
        <v>10</v>
      </c>
      <c r="D90" s="4">
        <v>497</v>
      </c>
      <c r="E90" s="5">
        <v>71</v>
      </c>
      <c r="F90"/>
      <c r="G90"/>
      <c r="H90"/>
      <c r="I90"/>
      <c r="J90"/>
      <c r="K90"/>
      <c r="L90"/>
      <c r="M90"/>
      <c r="N90"/>
      <c r="O90"/>
      <c r="P90"/>
    </row>
    <row r="91" spans="1:16">
      <c r="A91" s="3">
        <v>45434.894733796296</v>
      </c>
      <c r="B91" s="4" t="s">
        <v>9</v>
      </c>
      <c r="C91" s="4" t="s">
        <v>8</v>
      </c>
      <c r="D91" s="4">
        <v>409</v>
      </c>
      <c r="E91" s="5">
        <v>81</v>
      </c>
      <c r="F91"/>
      <c r="G91"/>
      <c r="H91"/>
      <c r="I91"/>
      <c r="J91"/>
      <c r="K91"/>
      <c r="L91"/>
      <c r="M91"/>
      <c r="N91"/>
      <c r="O91"/>
      <c r="P91"/>
    </row>
    <row r="92" spans="1:16">
      <c r="A92" s="3">
        <v>45444.421053240738</v>
      </c>
      <c r="B92" s="4" t="s">
        <v>7</v>
      </c>
      <c r="C92" s="4" t="s">
        <v>10</v>
      </c>
      <c r="D92" s="4">
        <v>53</v>
      </c>
      <c r="E92" s="5">
        <v>45</v>
      </c>
      <c r="F92"/>
      <c r="G92"/>
      <c r="H92"/>
      <c r="I92"/>
      <c r="J92"/>
      <c r="K92"/>
      <c r="L92"/>
      <c r="M92"/>
      <c r="N92"/>
      <c r="O92"/>
      <c r="P92"/>
    </row>
    <row r="93" spans="1:16">
      <c r="A93" s="3">
        <v>45453.947372685187</v>
      </c>
      <c r="B93" s="4" t="s">
        <v>7</v>
      </c>
      <c r="C93" s="4" t="s">
        <v>11</v>
      </c>
      <c r="D93" s="4">
        <v>398</v>
      </c>
      <c r="E93" s="5">
        <v>33</v>
      </c>
      <c r="F93"/>
      <c r="G93"/>
      <c r="H93"/>
      <c r="I93"/>
      <c r="J93"/>
      <c r="K93"/>
      <c r="L93"/>
      <c r="M93"/>
      <c r="N93"/>
      <c r="O93"/>
      <c r="P93"/>
    </row>
    <row r="94" spans="1:16">
      <c r="A94" s="3">
        <v>45463.473680555559</v>
      </c>
      <c r="B94" s="4" t="s">
        <v>15</v>
      </c>
      <c r="C94" s="4" t="s">
        <v>10</v>
      </c>
      <c r="D94" s="4">
        <v>347</v>
      </c>
      <c r="E94" s="5">
        <v>35</v>
      </c>
      <c r="F94"/>
      <c r="G94"/>
      <c r="H94"/>
      <c r="I94"/>
      <c r="J94"/>
      <c r="K94"/>
      <c r="L94"/>
      <c r="M94"/>
      <c r="N94"/>
      <c r="O94"/>
      <c r="P94"/>
    </row>
    <row r="95" spans="1:16">
      <c r="A95" s="6">
        <v>45473</v>
      </c>
      <c r="B95" s="7" t="s">
        <v>9</v>
      </c>
      <c r="C95" s="7" t="s">
        <v>11</v>
      </c>
      <c r="D95" s="7">
        <v>319</v>
      </c>
      <c r="E95" s="8">
        <v>45</v>
      </c>
      <c r="F95"/>
      <c r="G95"/>
      <c r="H95"/>
      <c r="I95"/>
      <c r="J95"/>
      <c r="K95"/>
      <c r="L95"/>
      <c r="M95"/>
      <c r="N95"/>
      <c r="O95"/>
      <c r="P95"/>
    </row>
    <row r="96" spans="1:16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</row>
    <row r="97" spans="1:16" ht="35.25">
      <c r="A97" s="13" t="s">
        <v>31</v>
      </c>
      <c r="B97" s="28" t="s">
        <v>32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</row>
    <row r="98" spans="1:16">
      <c r="A98"/>
      <c r="B98" s="24"/>
      <c r="C98"/>
      <c r="D98"/>
      <c r="E98"/>
      <c r="F98"/>
      <c r="G98"/>
      <c r="H98"/>
      <c r="I98"/>
      <c r="J98" t="s">
        <v>12</v>
      </c>
      <c r="K98"/>
      <c r="L98"/>
      <c r="M98"/>
      <c r="N98"/>
      <c r="O98"/>
      <c r="P98"/>
    </row>
    <row r="99" spans="1:16">
      <c r="A99" s="1" t="s">
        <v>2</v>
      </c>
      <c r="B99" s="2" t="s">
        <v>3</v>
      </c>
      <c r="C99" s="2" t="s">
        <v>4</v>
      </c>
      <c r="D99" s="2" t="s">
        <v>5</v>
      </c>
      <c r="E99" s="2" t="s">
        <v>6</v>
      </c>
      <c r="F99"/>
      <c r="G99"/>
      <c r="H99"/>
      <c r="I99"/>
      <c r="J99"/>
      <c r="K99"/>
      <c r="L99"/>
      <c r="M99"/>
      <c r="N99"/>
      <c r="O99"/>
      <c r="P99"/>
    </row>
    <row r="100" spans="1:16">
      <c r="A100" s="3">
        <v>45292</v>
      </c>
      <c r="B100" s="4" t="s">
        <v>7</v>
      </c>
      <c r="C100" s="4" t="s">
        <v>8</v>
      </c>
      <c r="D100" s="4">
        <v>456</v>
      </c>
      <c r="E100" s="5">
        <v>93</v>
      </c>
      <c r="F100"/>
      <c r="G100"/>
      <c r="H100"/>
      <c r="I100"/>
      <c r="J100"/>
      <c r="K100"/>
      <c r="L100"/>
      <c r="M100"/>
      <c r="N100"/>
      <c r="O100"/>
      <c r="P100"/>
    </row>
    <row r="101" spans="1:16">
      <c r="A101" s="3">
        <v>45301.526319444441</v>
      </c>
      <c r="B101" s="4" t="s">
        <v>9</v>
      </c>
      <c r="C101" s="4" t="s">
        <v>10</v>
      </c>
      <c r="D101" s="4">
        <v>348</v>
      </c>
      <c r="E101" s="5">
        <v>56</v>
      </c>
      <c r="F101"/>
      <c r="G101"/>
      <c r="H101"/>
      <c r="I101"/>
      <c r="J101"/>
      <c r="K101"/>
      <c r="L101"/>
      <c r="M101"/>
      <c r="N101"/>
      <c r="O101"/>
      <c r="P101"/>
    </row>
    <row r="102" spans="1:16">
      <c r="A102" s="3">
        <v>45311.052627314813</v>
      </c>
      <c r="B102" s="4" t="s">
        <v>9</v>
      </c>
      <c r="C102" s="4" t="s">
        <v>8</v>
      </c>
      <c r="D102" s="4">
        <v>247</v>
      </c>
      <c r="E102" s="5">
        <v>76</v>
      </c>
      <c r="F102"/>
      <c r="G102"/>
      <c r="H102"/>
      <c r="I102"/>
      <c r="J102"/>
      <c r="K102"/>
      <c r="L102"/>
      <c r="M102"/>
      <c r="N102"/>
      <c r="O102"/>
      <c r="P102"/>
    </row>
    <row r="103" spans="1:16">
      <c r="A103" s="3">
        <v>45320.578946759262</v>
      </c>
      <c r="B103" s="4" t="s">
        <v>7</v>
      </c>
      <c r="C103" s="4" t="s">
        <v>11</v>
      </c>
      <c r="D103" s="4">
        <v>230</v>
      </c>
      <c r="E103" s="5">
        <v>37</v>
      </c>
      <c r="F103"/>
      <c r="G103"/>
      <c r="H103"/>
      <c r="I103"/>
      <c r="J103"/>
      <c r="K103"/>
      <c r="L103"/>
      <c r="M103"/>
      <c r="N103"/>
      <c r="O103"/>
      <c r="P103"/>
    </row>
    <row r="104" spans="1:16">
      <c r="A104" s="3">
        <v>45330.105266203704</v>
      </c>
      <c r="B104" s="4" t="s">
        <v>7</v>
      </c>
      <c r="C104" s="4" t="s">
        <v>8</v>
      </c>
      <c r="D104" s="4">
        <v>281</v>
      </c>
      <c r="E104" s="5">
        <v>50</v>
      </c>
      <c r="F104"/>
      <c r="G104"/>
      <c r="H104"/>
      <c r="I104"/>
      <c r="J104"/>
      <c r="K104"/>
      <c r="L104"/>
      <c r="M104"/>
      <c r="N104"/>
      <c r="O104"/>
      <c r="P104"/>
    </row>
    <row r="105" spans="1:16">
      <c r="A105" s="3">
        <v>45339.631574074076</v>
      </c>
      <c r="B105" s="4" t="s">
        <v>7</v>
      </c>
      <c r="C105" s="4" t="s">
        <v>10</v>
      </c>
      <c r="D105" s="4">
        <v>334</v>
      </c>
      <c r="E105" s="5">
        <v>52</v>
      </c>
      <c r="F105"/>
      <c r="G105"/>
      <c r="H105"/>
      <c r="I105"/>
      <c r="J105"/>
      <c r="K105"/>
      <c r="L105"/>
      <c r="M105"/>
      <c r="N105"/>
      <c r="O105"/>
      <c r="P105"/>
    </row>
    <row r="106" spans="1:16">
      <c r="A106" s="3">
        <v>45349.157893518517</v>
      </c>
      <c r="B106" s="4" t="s">
        <v>9</v>
      </c>
      <c r="C106" s="4" t="s">
        <v>11</v>
      </c>
      <c r="D106" s="4">
        <v>417</v>
      </c>
      <c r="E106" s="5">
        <v>29</v>
      </c>
      <c r="F106"/>
      <c r="G106"/>
      <c r="H106"/>
      <c r="I106"/>
      <c r="J106"/>
      <c r="K106"/>
      <c r="L106"/>
      <c r="M106"/>
      <c r="N106"/>
      <c r="O106"/>
      <c r="P106"/>
    </row>
    <row r="107" spans="1:16">
      <c r="A107" s="3">
        <v>45358.684212962966</v>
      </c>
      <c r="B107" s="4" t="s">
        <v>7</v>
      </c>
      <c r="C107" s="4" t="s">
        <v>11</v>
      </c>
      <c r="D107" s="4">
        <v>441</v>
      </c>
      <c r="E107" s="5">
        <v>44</v>
      </c>
      <c r="F107"/>
      <c r="G107" s="9" t="s">
        <v>3</v>
      </c>
      <c r="H107" t="s">
        <v>13</v>
      </c>
      <c r="I107"/>
      <c r="J107"/>
      <c r="K107"/>
      <c r="L107"/>
      <c r="M107"/>
      <c r="N107"/>
      <c r="O107"/>
      <c r="P107"/>
    </row>
    <row r="108" spans="1:16">
      <c r="A108" s="3">
        <v>45368.210520833331</v>
      </c>
      <c r="B108" s="4" t="s">
        <v>9</v>
      </c>
      <c r="C108" s="4" t="s">
        <v>8</v>
      </c>
      <c r="D108" s="4">
        <v>76</v>
      </c>
      <c r="E108" s="5">
        <v>63</v>
      </c>
      <c r="F108"/>
      <c r="G108" t="s">
        <v>14</v>
      </c>
      <c r="H108" s="10">
        <v>467</v>
      </c>
      <c r="I108"/>
      <c r="J108"/>
      <c r="K108"/>
      <c r="L108"/>
      <c r="M108"/>
      <c r="N108"/>
      <c r="O108"/>
      <c r="P108"/>
    </row>
    <row r="109" spans="1:16">
      <c r="A109" s="3">
        <v>45377.736840277779</v>
      </c>
      <c r="B109" s="4" t="s">
        <v>7</v>
      </c>
      <c r="C109" s="4" t="s">
        <v>10</v>
      </c>
      <c r="D109" s="4">
        <v>441</v>
      </c>
      <c r="E109" s="5">
        <v>79</v>
      </c>
      <c r="F109"/>
      <c r="G109" t="s">
        <v>15</v>
      </c>
      <c r="H109" s="10">
        <v>347</v>
      </c>
      <c r="I109"/>
      <c r="J109"/>
      <c r="K109"/>
      <c r="L109"/>
      <c r="M109"/>
      <c r="N109"/>
      <c r="O109"/>
      <c r="P109"/>
    </row>
    <row r="110" spans="1:16">
      <c r="A110" s="3">
        <v>45387.263159722221</v>
      </c>
      <c r="B110" s="4" t="s">
        <v>9</v>
      </c>
      <c r="C110" s="4" t="s">
        <v>8</v>
      </c>
      <c r="D110" s="4">
        <v>205</v>
      </c>
      <c r="E110" s="5">
        <v>23</v>
      </c>
      <c r="F110"/>
      <c r="G110" t="s">
        <v>9</v>
      </c>
      <c r="H110" s="10">
        <v>2518</v>
      </c>
      <c r="I110"/>
      <c r="J110"/>
      <c r="K110"/>
      <c r="L110"/>
      <c r="M110"/>
      <c r="N110"/>
      <c r="O110"/>
      <c r="P110"/>
    </row>
    <row r="111" spans="1:16">
      <c r="A111" s="3">
        <v>45396.789479166669</v>
      </c>
      <c r="B111" s="4" t="s">
        <v>7</v>
      </c>
      <c r="C111" s="4" t="s">
        <v>10</v>
      </c>
      <c r="D111" s="4">
        <v>483</v>
      </c>
      <c r="E111" s="5">
        <v>97</v>
      </c>
      <c r="F111"/>
      <c r="G111" t="s">
        <v>7</v>
      </c>
      <c r="H111" s="10">
        <v>3497</v>
      </c>
      <c r="I111"/>
      <c r="J111"/>
      <c r="K111"/>
      <c r="L111"/>
      <c r="M111"/>
      <c r="N111"/>
      <c r="O111"/>
      <c r="P111"/>
    </row>
    <row r="112" spans="1:16">
      <c r="A112" s="3">
        <v>45406.315787037034</v>
      </c>
      <c r="B112" s="4" t="s">
        <v>14</v>
      </c>
      <c r="C112" s="4" t="s">
        <v>8</v>
      </c>
      <c r="D112" s="4">
        <v>467</v>
      </c>
      <c r="E112" s="5">
        <v>97</v>
      </c>
      <c r="F112"/>
      <c r="G112" t="s">
        <v>16</v>
      </c>
      <c r="H112" s="10">
        <v>6829</v>
      </c>
      <c r="I112"/>
      <c r="J112"/>
      <c r="K112"/>
      <c r="L112"/>
      <c r="M112"/>
      <c r="N112"/>
      <c r="O112"/>
      <c r="P112"/>
    </row>
    <row r="113" spans="1:16">
      <c r="A113" s="3">
        <v>45415.842106481483</v>
      </c>
      <c r="B113" s="4" t="s">
        <v>7</v>
      </c>
      <c r="C113" s="4" t="s">
        <v>8</v>
      </c>
      <c r="D113" s="4">
        <v>380</v>
      </c>
      <c r="E113" s="5">
        <v>92</v>
      </c>
      <c r="F113"/>
      <c r="G113"/>
      <c r="H113"/>
      <c r="I113"/>
      <c r="J113"/>
      <c r="K113"/>
      <c r="L113"/>
      <c r="M113"/>
      <c r="N113"/>
      <c r="O113"/>
      <c r="P113"/>
    </row>
    <row r="114" spans="1:16">
      <c r="A114" s="3">
        <v>45425.368425925924</v>
      </c>
      <c r="B114" s="4" t="s">
        <v>9</v>
      </c>
      <c r="C114" s="4" t="s">
        <v>10</v>
      </c>
      <c r="D114" s="4">
        <v>497</v>
      </c>
      <c r="E114" s="5">
        <v>71</v>
      </c>
      <c r="F114"/>
      <c r="G114"/>
      <c r="H114"/>
      <c r="I114"/>
      <c r="J114"/>
      <c r="K114"/>
      <c r="L114"/>
      <c r="M114"/>
      <c r="N114"/>
      <c r="O114"/>
      <c r="P114"/>
    </row>
    <row r="115" spans="1:16">
      <c r="A115" s="3">
        <v>45434.894733796296</v>
      </c>
      <c r="B115" s="4" t="s">
        <v>9</v>
      </c>
      <c r="C115" s="4" t="s">
        <v>8</v>
      </c>
      <c r="D115" s="4">
        <v>409</v>
      </c>
      <c r="E115" s="5">
        <v>81</v>
      </c>
      <c r="F115"/>
      <c r="G115"/>
      <c r="H115"/>
      <c r="I115"/>
      <c r="J115"/>
      <c r="K115"/>
      <c r="L115"/>
      <c r="M115"/>
      <c r="N115"/>
      <c r="O115"/>
      <c r="P115"/>
    </row>
    <row r="116" spans="1:16">
      <c r="A116" s="3">
        <v>45444.421053240738</v>
      </c>
      <c r="B116" s="4" t="s">
        <v>7</v>
      </c>
      <c r="C116" s="4" t="s">
        <v>10</v>
      </c>
      <c r="D116" s="4">
        <v>53</v>
      </c>
      <c r="E116" s="5">
        <v>45</v>
      </c>
      <c r="F116"/>
      <c r="G116"/>
      <c r="H116"/>
      <c r="I116"/>
      <c r="J116"/>
      <c r="K116"/>
      <c r="L116"/>
      <c r="M116"/>
      <c r="N116"/>
      <c r="O116"/>
      <c r="P116"/>
    </row>
    <row r="117" spans="1:16">
      <c r="A117" s="3">
        <v>45453.947372685187</v>
      </c>
      <c r="B117" s="4" t="s">
        <v>7</v>
      </c>
      <c r="C117" s="4" t="s">
        <v>11</v>
      </c>
      <c r="D117" s="4">
        <v>398</v>
      </c>
      <c r="E117" s="5">
        <v>33</v>
      </c>
      <c r="F117"/>
      <c r="G117"/>
      <c r="H117"/>
      <c r="I117"/>
      <c r="J117"/>
      <c r="K117"/>
      <c r="L117"/>
      <c r="M117"/>
      <c r="N117"/>
      <c r="O117"/>
      <c r="P117"/>
    </row>
    <row r="118" spans="1:16">
      <c r="A118" s="3">
        <v>45463.473680555559</v>
      </c>
      <c r="B118" s="4" t="s">
        <v>15</v>
      </c>
      <c r="C118" s="4" t="s">
        <v>10</v>
      </c>
      <c r="D118" s="4">
        <v>347</v>
      </c>
      <c r="E118" s="5">
        <v>35</v>
      </c>
      <c r="F118"/>
      <c r="G118"/>
      <c r="H118"/>
      <c r="I118"/>
      <c r="J118"/>
      <c r="K118"/>
      <c r="L118"/>
      <c r="M118"/>
      <c r="N118"/>
      <c r="O118"/>
      <c r="P118"/>
    </row>
    <row r="119" spans="1:16">
      <c r="A119" s="6">
        <v>45473</v>
      </c>
      <c r="B119" s="7" t="s">
        <v>9</v>
      </c>
      <c r="C119" s="7" t="s">
        <v>11</v>
      </c>
      <c r="D119" s="7">
        <v>319</v>
      </c>
      <c r="E119" s="8">
        <v>45</v>
      </c>
      <c r="F119"/>
      <c r="G119"/>
      <c r="H119"/>
      <c r="I119"/>
      <c r="J119"/>
      <c r="K119"/>
      <c r="L119"/>
      <c r="M119"/>
      <c r="N119"/>
      <c r="O119"/>
      <c r="P119"/>
    </row>
    <row r="120" spans="1:16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</row>
    <row r="121" spans="1:16">
      <c r="A121"/>
      <c r="B121"/>
      <c r="C121"/>
      <c r="D121"/>
      <c r="E121"/>
      <c r="F121"/>
      <c r="G121" s="25"/>
      <c r="H121"/>
      <c r="I121"/>
      <c r="J121"/>
      <c r="K121"/>
      <c r="L121"/>
      <c r="M121"/>
      <c r="N121"/>
      <c r="O121"/>
      <c r="P121"/>
    </row>
    <row r="122" spans="1:16" ht="65.25">
      <c r="A122" s="15" t="s">
        <v>33</v>
      </c>
      <c r="B122" s="22" t="s">
        <v>34</v>
      </c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</row>
    <row r="123" spans="1:16">
      <c r="A123"/>
      <c r="B123"/>
      <c r="C123"/>
      <c r="D123"/>
      <c r="E123"/>
      <c r="F123"/>
      <c r="G123"/>
      <c r="H123" t="s">
        <v>12</v>
      </c>
      <c r="I123"/>
      <c r="J123"/>
      <c r="K123"/>
      <c r="L123"/>
      <c r="M123"/>
      <c r="N123"/>
      <c r="O123"/>
      <c r="P123"/>
    </row>
    <row r="124" spans="1:16">
      <c r="A124" s="1" t="s">
        <v>2</v>
      </c>
      <c r="B124" s="2" t="s">
        <v>3</v>
      </c>
      <c r="C124" s="2" t="s">
        <v>4</v>
      </c>
      <c r="D124" s="2" t="s">
        <v>5</v>
      </c>
      <c r="E124" s="2" t="s">
        <v>6</v>
      </c>
      <c r="F124" s="37" t="s">
        <v>22</v>
      </c>
      <c r="G124"/>
      <c r="H124" s="9" t="s">
        <v>22</v>
      </c>
      <c r="I124" t="s">
        <v>35</v>
      </c>
      <c r="J124"/>
      <c r="K124"/>
      <c r="L124"/>
      <c r="M124"/>
      <c r="N124"/>
      <c r="O124"/>
      <c r="P124"/>
    </row>
    <row r="125" spans="1:16">
      <c r="A125" s="3">
        <v>45292</v>
      </c>
      <c r="B125" s="4" t="s">
        <v>7</v>
      </c>
      <c r="C125" s="4" t="s">
        <v>8</v>
      </c>
      <c r="D125" s="4">
        <v>456</v>
      </c>
      <c r="E125" s="5">
        <v>93</v>
      </c>
      <c r="F125" s="36" t="str">
        <f t="shared" ref="F125:F144" si="1">TEXT(A125,"YYYY-MM")</f>
        <v>2024-01</v>
      </c>
      <c r="G125"/>
      <c r="H125" t="s">
        <v>23</v>
      </c>
      <c r="I125" s="10">
        <v>320.25</v>
      </c>
      <c r="J125"/>
      <c r="K125"/>
      <c r="L125"/>
      <c r="M125"/>
      <c r="N125"/>
      <c r="O125"/>
      <c r="P125"/>
    </row>
    <row r="126" spans="1:16">
      <c r="A126" s="3">
        <v>45301.526319444441</v>
      </c>
      <c r="B126" s="4" t="s">
        <v>9</v>
      </c>
      <c r="C126" s="4" t="s">
        <v>10</v>
      </c>
      <c r="D126" s="4">
        <v>348</v>
      </c>
      <c r="E126" s="5">
        <v>56</v>
      </c>
      <c r="F126" s="36" t="str">
        <f t="shared" si="1"/>
        <v>2024-01</v>
      </c>
      <c r="G126"/>
      <c r="H126" t="s">
        <v>24</v>
      </c>
      <c r="I126" s="10">
        <v>344</v>
      </c>
      <c r="J126"/>
      <c r="K126"/>
      <c r="L126"/>
      <c r="M126"/>
      <c r="N126"/>
      <c r="O126"/>
      <c r="P126"/>
    </row>
    <row r="127" spans="1:16">
      <c r="A127" s="3">
        <v>45311.052627314813</v>
      </c>
      <c r="B127" s="4" t="s">
        <v>9</v>
      </c>
      <c r="C127" s="4" t="s">
        <v>8</v>
      </c>
      <c r="D127" s="4">
        <v>247</v>
      </c>
      <c r="E127" s="5">
        <v>76</v>
      </c>
      <c r="F127" s="36" t="str">
        <f t="shared" si="1"/>
        <v>2024-01</v>
      </c>
      <c r="G127"/>
      <c r="H127" t="s">
        <v>25</v>
      </c>
      <c r="I127" s="10">
        <v>319.33333333333331</v>
      </c>
      <c r="J127"/>
      <c r="K127"/>
      <c r="L127"/>
      <c r="M127"/>
      <c r="N127"/>
      <c r="O127"/>
      <c r="P127"/>
    </row>
    <row r="128" spans="1:16">
      <c r="A128" s="3">
        <v>45320.578946759262</v>
      </c>
      <c r="B128" s="4" t="s">
        <v>7</v>
      </c>
      <c r="C128" s="4" t="s">
        <v>11</v>
      </c>
      <c r="D128" s="4">
        <v>230</v>
      </c>
      <c r="E128" s="5">
        <v>37</v>
      </c>
      <c r="F128" s="36" t="str">
        <f t="shared" si="1"/>
        <v>2024-01</v>
      </c>
      <c r="G128"/>
      <c r="H128" t="s">
        <v>26</v>
      </c>
      <c r="I128" s="10">
        <v>385</v>
      </c>
      <c r="J128"/>
      <c r="K128"/>
      <c r="L128"/>
      <c r="M128"/>
      <c r="N128"/>
      <c r="O128"/>
      <c r="P128"/>
    </row>
    <row r="129" spans="1:16">
      <c r="A129" s="3">
        <v>45330.105266203704</v>
      </c>
      <c r="B129" s="4" t="s">
        <v>7</v>
      </c>
      <c r="C129" s="4" t="s">
        <v>8</v>
      </c>
      <c r="D129" s="4">
        <v>281</v>
      </c>
      <c r="E129" s="5">
        <v>50</v>
      </c>
      <c r="F129" s="36" t="str">
        <f t="shared" si="1"/>
        <v>2024-02</v>
      </c>
      <c r="G129"/>
      <c r="H129" t="s">
        <v>27</v>
      </c>
      <c r="I129" s="10">
        <v>428.66666666666669</v>
      </c>
      <c r="J129"/>
      <c r="K129"/>
      <c r="L129"/>
      <c r="M129"/>
      <c r="N129"/>
      <c r="O129"/>
      <c r="P129"/>
    </row>
    <row r="130" spans="1:16">
      <c r="A130" s="3">
        <v>45339.631574074076</v>
      </c>
      <c r="B130" s="4" t="s">
        <v>7</v>
      </c>
      <c r="C130" s="4" t="s">
        <v>10</v>
      </c>
      <c r="D130" s="4">
        <v>334</v>
      </c>
      <c r="E130" s="5">
        <v>52</v>
      </c>
      <c r="F130" s="36" t="str">
        <f t="shared" si="1"/>
        <v>2024-02</v>
      </c>
      <c r="G130"/>
      <c r="H130" t="s">
        <v>28</v>
      </c>
      <c r="I130" s="10">
        <v>279.25</v>
      </c>
      <c r="J130"/>
      <c r="K130"/>
      <c r="L130"/>
      <c r="M130"/>
      <c r="N130"/>
      <c r="O130"/>
      <c r="P130"/>
    </row>
    <row r="131" spans="1:16">
      <c r="A131" s="3">
        <v>45349.157893518517</v>
      </c>
      <c r="B131" s="4" t="s">
        <v>9</v>
      </c>
      <c r="C131" s="4" t="s">
        <v>11</v>
      </c>
      <c r="D131" s="4">
        <v>417</v>
      </c>
      <c r="E131" s="5">
        <v>29</v>
      </c>
      <c r="F131" s="36" t="str">
        <f t="shared" si="1"/>
        <v>2024-02</v>
      </c>
      <c r="G131"/>
      <c r="H131" t="s">
        <v>16</v>
      </c>
      <c r="I131" s="10">
        <v>341.45</v>
      </c>
      <c r="J131"/>
      <c r="K131"/>
      <c r="L131"/>
      <c r="M131"/>
      <c r="N131"/>
      <c r="O131"/>
      <c r="P131"/>
    </row>
    <row r="132" spans="1:16">
      <c r="A132" s="3">
        <v>45358.684212962966</v>
      </c>
      <c r="B132" s="4" t="s">
        <v>7</v>
      </c>
      <c r="C132" s="4" t="s">
        <v>11</v>
      </c>
      <c r="D132" s="4">
        <v>441</v>
      </c>
      <c r="E132" s="5">
        <v>44</v>
      </c>
      <c r="F132" s="36" t="str">
        <f t="shared" si="1"/>
        <v>2024-03</v>
      </c>
      <c r="G132"/>
      <c r="H132"/>
      <c r="I132"/>
      <c r="J132"/>
      <c r="K132"/>
      <c r="L132"/>
      <c r="M132"/>
      <c r="N132"/>
      <c r="O132"/>
      <c r="P132"/>
    </row>
    <row r="133" spans="1:16">
      <c r="A133" s="3">
        <v>45368.210520833331</v>
      </c>
      <c r="B133" s="4" t="s">
        <v>9</v>
      </c>
      <c r="C133" s="4" t="s">
        <v>8</v>
      </c>
      <c r="D133" s="4">
        <v>76</v>
      </c>
      <c r="E133" s="5">
        <v>63</v>
      </c>
      <c r="F133" s="36" t="str">
        <f t="shared" si="1"/>
        <v>2024-03</v>
      </c>
      <c r="G133"/>
      <c r="H133"/>
      <c r="I133"/>
      <c r="J133"/>
      <c r="K133"/>
      <c r="L133"/>
      <c r="M133"/>
      <c r="N133"/>
      <c r="O133"/>
      <c r="P133"/>
    </row>
    <row r="134" spans="1:16">
      <c r="A134" s="3">
        <v>45377.736840277779</v>
      </c>
      <c r="B134" s="4" t="s">
        <v>7</v>
      </c>
      <c r="C134" s="4" t="s">
        <v>10</v>
      </c>
      <c r="D134" s="4">
        <v>441</v>
      </c>
      <c r="E134" s="5">
        <v>79</v>
      </c>
      <c r="F134" s="36" t="str">
        <f t="shared" si="1"/>
        <v>2024-03</v>
      </c>
      <c r="G134"/>
      <c r="H134"/>
      <c r="I134"/>
      <c r="J134"/>
      <c r="K134"/>
      <c r="L134"/>
      <c r="M134"/>
      <c r="N134"/>
      <c r="O134"/>
      <c r="P134"/>
    </row>
    <row r="135" spans="1:16">
      <c r="A135" s="3">
        <v>45387.263159722221</v>
      </c>
      <c r="B135" s="4" t="s">
        <v>9</v>
      </c>
      <c r="C135" s="4" t="s">
        <v>8</v>
      </c>
      <c r="D135" s="4">
        <v>205</v>
      </c>
      <c r="E135" s="5">
        <v>23</v>
      </c>
      <c r="F135" s="36" t="str">
        <f t="shared" si="1"/>
        <v>2024-04</v>
      </c>
      <c r="G135"/>
      <c r="H135"/>
      <c r="I135"/>
      <c r="J135"/>
      <c r="K135"/>
      <c r="L135"/>
      <c r="M135"/>
      <c r="N135"/>
      <c r="O135"/>
      <c r="P135"/>
    </row>
    <row r="136" spans="1:16">
      <c r="A136" s="3">
        <v>45396.789479166669</v>
      </c>
      <c r="B136" s="4" t="s">
        <v>7</v>
      </c>
      <c r="C136" s="4" t="s">
        <v>10</v>
      </c>
      <c r="D136" s="4">
        <v>483</v>
      </c>
      <c r="E136" s="5">
        <v>97</v>
      </c>
      <c r="F136" s="36" t="str">
        <f>TEXT(A136,"YYYY-MM")</f>
        <v>2024-04</v>
      </c>
      <c r="G136"/>
      <c r="H136"/>
      <c r="I136"/>
      <c r="J136"/>
      <c r="K136"/>
      <c r="L136"/>
      <c r="M136"/>
      <c r="N136"/>
      <c r="O136"/>
      <c r="P136"/>
    </row>
    <row r="137" spans="1:16">
      <c r="A137" s="3">
        <v>45406.315787037034</v>
      </c>
      <c r="B137" s="4" t="s">
        <v>14</v>
      </c>
      <c r="C137" s="4" t="s">
        <v>8</v>
      </c>
      <c r="D137" s="4">
        <v>467</v>
      </c>
      <c r="E137" s="5">
        <v>97</v>
      </c>
      <c r="F137" s="36" t="str">
        <f t="shared" ref="F137:F144" si="2">TEXT(A137,"YYYY-MM")</f>
        <v>2024-04</v>
      </c>
      <c r="G137"/>
      <c r="H137"/>
      <c r="I137"/>
      <c r="J137"/>
      <c r="K137"/>
      <c r="L137"/>
      <c r="M137"/>
      <c r="N137"/>
      <c r="O137"/>
      <c r="P137"/>
    </row>
    <row r="138" spans="1:16">
      <c r="A138" s="3">
        <v>45415.842106481483</v>
      </c>
      <c r="B138" s="4" t="s">
        <v>7</v>
      </c>
      <c r="C138" s="4" t="s">
        <v>8</v>
      </c>
      <c r="D138" s="4">
        <v>380</v>
      </c>
      <c r="E138" s="5">
        <v>92</v>
      </c>
      <c r="F138" s="36" t="str">
        <f t="shared" si="2"/>
        <v>2024-05</v>
      </c>
      <c r="G138"/>
      <c r="H138"/>
      <c r="I138"/>
      <c r="J138"/>
      <c r="K138"/>
      <c r="L138"/>
      <c r="M138"/>
      <c r="N138"/>
      <c r="O138"/>
      <c r="P138"/>
    </row>
    <row r="139" spans="1:16">
      <c r="A139" s="3">
        <v>45425.368425925924</v>
      </c>
      <c r="B139" s="4" t="s">
        <v>9</v>
      </c>
      <c r="C139" s="4" t="s">
        <v>10</v>
      </c>
      <c r="D139" s="4">
        <v>497</v>
      </c>
      <c r="E139" s="5">
        <v>71</v>
      </c>
      <c r="F139" s="36" t="str">
        <f t="shared" si="2"/>
        <v>2024-05</v>
      </c>
      <c r="G139"/>
      <c r="H139"/>
      <c r="I139"/>
      <c r="J139"/>
      <c r="K139"/>
      <c r="L139"/>
      <c r="M139"/>
      <c r="N139"/>
      <c r="O139"/>
      <c r="P139"/>
    </row>
    <row r="140" spans="1:16">
      <c r="A140" s="3">
        <v>45434.894733796296</v>
      </c>
      <c r="B140" s="4" t="s">
        <v>9</v>
      </c>
      <c r="C140" s="4" t="s">
        <v>8</v>
      </c>
      <c r="D140" s="4">
        <v>409</v>
      </c>
      <c r="E140" s="5">
        <v>81</v>
      </c>
      <c r="F140" s="36" t="str">
        <f t="shared" si="2"/>
        <v>2024-05</v>
      </c>
      <c r="G140"/>
      <c r="H140"/>
      <c r="I140"/>
      <c r="J140"/>
      <c r="K140"/>
      <c r="L140"/>
      <c r="M140"/>
      <c r="N140"/>
      <c r="O140"/>
      <c r="P140"/>
    </row>
    <row r="141" spans="1:16">
      <c r="A141" s="3">
        <v>45444.421053240738</v>
      </c>
      <c r="B141" s="4" t="s">
        <v>7</v>
      </c>
      <c r="C141" s="4" t="s">
        <v>10</v>
      </c>
      <c r="D141" s="4">
        <v>53</v>
      </c>
      <c r="E141" s="5">
        <v>45</v>
      </c>
      <c r="F141" s="36" t="str">
        <f t="shared" si="2"/>
        <v>2024-06</v>
      </c>
      <c r="G141"/>
      <c r="H141"/>
      <c r="I141"/>
      <c r="J141"/>
      <c r="K141"/>
      <c r="L141"/>
      <c r="M141"/>
      <c r="N141"/>
      <c r="O141"/>
      <c r="P141"/>
    </row>
    <row r="142" spans="1:16">
      <c r="A142" s="3">
        <v>45453.947372685187</v>
      </c>
      <c r="B142" s="4" t="s">
        <v>7</v>
      </c>
      <c r="C142" s="4" t="s">
        <v>11</v>
      </c>
      <c r="D142" s="4">
        <v>398</v>
      </c>
      <c r="E142" s="5">
        <v>33</v>
      </c>
      <c r="F142" s="36" t="str">
        <f t="shared" si="2"/>
        <v>2024-06</v>
      </c>
      <c r="G142"/>
      <c r="H142"/>
      <c r="I142"/>
      <c r="J142"/>
      <c r="K142"/>
      <c r="L142"/>
      <c r="M142"/>
      <c r="N142"/>
      <c r="O142"/>
      <c r="P142"/>
    </row>
    <row r="143" spans="1:16">
      <c r="A143" s="3">
        <v>45463.473680555559</v>
      </c>
      <c r="B143" s="4" t="s">
        <v>15</v>
      </c>
      <c r="C143" s="4" t="s">
        <v>10</v>
      </c>
      <c r="D143" s="4">
        <v>347</v>
      </c>
      <c r="E143" s="5">
        <v>35</v>
      </c>
      <c r="F143" s="36" t="str">
        <f t="shared" si="2"/>
        <v>2024-06</v>
      </c>
      <c r="G143"/>
      <c r="H143"/>
      <c r="I143"/>
      <c r="J143"/>
      <c r="K143"/>
      <c r="L143"/>
      <c r="M143"/>
      <c r="N143"/>
      <c r="O143"/>
      <c r="P143"/>
    </row>
    <row r="144" spans="1:16">
      <c r="A144" s="6">
        <v>45473</v>
      </c>
      <c r="B144" s="7" t="s">
        <v>9</v>
      </c>
      <c r="C144" s="7" t="s">
        <v>11</v>
      </c>
      <c r="D144" s="7">
        <v>319</v>
      </c>
      <c r="E144" s="8">
        <v>45</v>
      </c>
      <c r="F144" s="36" t="str">
        <f t="shared" si="2"/>
        <v>2024-06</v>
      </c>
      <c r="G144"/>
      <c r="H144"/>
      <c r="I144"/>
      <c r="J144"/>
      <c r="K144"/>
      <c r="L144"/>
      <c r="M144"/>
      <c r="N144"/>
      <c r="O144"/>
      <c r="P144"/>
    </row>
    <row r="145" spans="1:16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</row>
    <row r="146" spans="1:16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</row>
    <row r="147" spans="1:16" ht="75.75">
      <c r="A147" s="12" t="s">
        <v>36</v>
      </c>
      <c r="B147" s="22" t="s">
        <v>37</v>
      </c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</row>
    <row r="148" spans="1:16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</row>
    <row r="149" spans="1:16">
      <c r="A149" s="1" t="s">
        <v>2</v>
      </c>
      <c r="B149" s="2" t="s">
        <v>3</v>
      </c>
      <c r="C149" s="2" t="s">
        <v>4</v>
      </c>
      <c r="D149" s="2" t="s">
        <v>5</v>
      </c>
      <c r="E149" s="2" t="s">
        <v>6</v>
      </c>
      <c r="F149"/>
      <c r="G149" t="s">
        <v>12</v>
      </c>
      <c r="H149"/>
      <c r="I149"/>
      <c r="J149"/>
      <c r="K149"/>
      <c r="L149"/>
      <c r="M149"/>
      <c r="N149"/>
      <c r="O149"/>
      <c r="P149"/>
    </row>
    <row r="150" spans="1:16">
      <c r="A150" s="3">
        <v>45292</v>
      </c>
      <c r="B150" s="4" t="s">
        <v>7</v>
      </c>
      <c r="C150" s="4" t="s">
        <v>8</v>
      </c>
      <c r="D150" s="4">
        <v>456</v>
      </c>
      <c r="E150" s="5">
        <v>93</v>
      </c>
      <c r="F150"/>
      <c r="G150" s="9" t="s">
        <v>4</v>
      </c>
      <c r="H150" t="s">
        <v>13</v>
      </c>
      <c r="I150"/>
      <c r="J150" s="12" t="str">
        <f>IF(OR(C149="APPLES",C149="ORANGES"),"FRUITS",C149)</f>
        <v>Product</v>
      </c>
      <c r="K150" s="12" t="str">
        <f t="shared" ref="K150:K170" si="3">IF(OR(D149="APPLES",D149="ORANGES"),"FRUITS",D149)</f>
        <v>Sales</v>
      </c>
      <c r="L150" s="12" t="str">
        <f t="shared" ref="L150:L170" si="4">IF(OR(E149="APPLES",E149="ORANGES"),"FRUITS",E149)</f>
        <v>Quantity</v>
      </c>
      <c r="M150" s="12">
        <f t="shared" ref="M150:M170" si="5">IF(OR(F149="APPLES",F149="ORANGES"),"FRUITS",F149)</f>
        <v>0</v>
      </c>
      <c r="N150" s="12" t="str">
        <f t="shared" ref="N150:N170" si="6">IF(OR(G149="APPLES",G149="ORANGES"),"FRUITS",G149)</f>
        <v>Ans.</v>
      </c>
      <c r="O150" s="12">
        <f t="shared" ref="O150:O170" si="7">IF(OR(H149="APPLES",H149="ORANGES"),"FRUITS",H149)</f>
        <v>0</v>
      </c>
      <c r="P150" s="12">
        <f t="shared" ref="P150:P170" si="8">IF(OR(I149="APPLES",I149="ORANGES"),"FRUITS",I149)</f>
        <v>0</v>
      </c>
    </row>
    <row r="151" spans="1:16">
      <c r="A151" s="3">
        <v>45301.526319444441</v>
      </c>
      <c r="B151" s="4" t="s">
        <v>9</v>
      </c>
      <c r="C151" s="4" t="s">
        <v>10</v>
      </c>
      <c r="D151" s="4">
        <v>348</v>
      </c>
      <c r="E151" s="5">
        <v>56</v>
      </c>
      <c r="F151"/>
      <c r="G151" t="s">
        <v>11</v>
      </c>
      <c r="H151" s="10">
        <v>1805</v>
      </c>
      <c r="I151"/>
      <c r="J151" s="12" t="str">
        <f t="shared" ref="J151:J170" si="9">IF(OR(C150="APPLES",C150="ORANGES"),"FRUITS",C150)</f>
        <v>Mangoes</v>
      </c>
      <c r="K151" s="12">
        <f t="shared" si="3"/>
        <v>456</v>
      </c>
      <c r="L151" s="12">
        <f t="shared" si="4"/>
        <v>93</v>
      </c>
      <c r="M151" s="12">
        <f t="shared" si="5"/>
        <v>0</v>
      </c>
      <c r="N151" s="12" t="str">
        <f t="shared" si="6"/>
        <v>Product</v>
      </c>
      <c r="O151" s="29" t="str">
        <f t="shared" si="7"/>
        <v>Sum of Sales</v>
      </c>
      <c r="P151" s="12">
        <f t="shared" si="8"/>
        <v>0</v>
      </c>
    </row>
    <row r="152" spans="1:16">
      <c r="A152" s="3">
        <v>45311.052627314813</v>
      </c>
      <c r="B152" s="4" t="s">
        <v>9</v>
      </c>
      <c r="C152" s="4" t="s">
        <v>8</v>
      </c>
      <c r="D152" s="4">
        <v>247</v>
      </c>
      <c r="E152" s="5">
        <v>76</v>
      </c>
      <c r="F152"/>
      <c r="G152" t="s">
        <v>8</v>
      </c>
      <c r="H152" s="10">
        <v>2521</v>
      </c>
      <c r="I152"/>
      <c r="J152" s="12" t="str">
        <f t="shared" si="9"/>
        <v>FRUITS</v>
      </c>
      <c r="K152" s="12">
        <f t="shared" si="3"/>
        <v>348</v>
      </c>
      <c r="L152" s="12">
        <f t="shared" si="4"/>
        <v>56</v>
      </c>
      <c r="M152" s="12">
        <f t="shared" si="5"/>
        <v>0</v>
      </c>
      <c r="N152" s="12" t="str">
        <f t="shared" si="6"/>
        <v>FRUITS</v>
      </c>
      <c r="O152" s="29">
        <f t="shared" si="7"/>
        <v>1805</v>
      </c>
      <c r="P152" s="12">
        <f t="shared" si="8"/>
        <v>0</v>
      </c>
    </row>
    <row r="153" spans="1:16">
      <c r="A153" s="3">
        <v>45320.578946759262</v>
      </c>
      <c r="B153" s="4" t="s">
        <v>7</v>
      </c>
      <c r="C153" s="4" t="s">
        <v>11</v>
      </c>
      <c r="D153" s="4">
        <v>230</v>
      </c>
      <c r="E153" s="5">
        <v>37</v>
      </c>
      <c r="F153"/>
      <c r="G153" t="s">
        <v>10</v>
      </c>
      <c r="H153" s="10">
        <v>2503</v>
      </c>
      <c r="I153"/>
      <c r="J153" s="12" t="str">
        <f t="shared" si="9"/>
        <v>Mangoes</v>
      </c>
      <c r="K153" s="12">
        <f t="shared" si="3"/>
        <v>247</v>
      </c>
      <c r="L153" s="12">
        <f t="shared" si="4"/>
        <v>76</v>
      </c>
      <c r="M153" s="12">
        <f t="shared" si="5"/>
        <v>0</v>
      </c>
      <c r="N153" s="12" t="str">
        <f t="shared" si="6"/>
        <v>Mangoes</v>
      </c>
      <c r="O153" s="29">
        <f t="shared" si="7"/>
        <v>2521</v>
      </c>
      <c r="P153" s="12">
        <f t="shared" si="8"/>
        <v>0</v>
      </c>
    </row>
    <row r="154" spans="1:16">
      <c r="A154" s="3">
        <v>45330.105266203704</v>
      </c>
      <c r="B154" s="4" t="s">
        <v>7</v>
      </c>
      <c r="C154" s="4" t="s">
        <v>8</v>
      </c>
      <c r="D154" s="4">
        <v>281</v>
      </c>
      <c r="E154" s="5">
        <v>50</v>
      </c>
      <c r="F154"/>
      <c r="G154" t="s">
        <v>16</v>
      </c>
      <c r="H154" s="10">
        <v>6829</v>
      </c>
      <c r="I154"/>
      <c r="J154" s="12" t="str">
        <f t="shared" si="9"/>
        <v>FRUITS</v>
      </c>
      <c r="K154" s="12">
        <f t="shared" si="3"/>
        <v>230</v>
      </c>
      <c r="L154" s="12">
        <f t="shared" si="4"/>
        <v>37</v>
      </c>
      <c r="M154" s="12">
        <f t="shared" si="5"/>
        <v>0</v>
      </c>
      <c r="N154" s="12" t="str">
        <f t="shared" si="6"/>
        <v>FRUITS</v>
      </c>
      <c r="O154" s="29">
        <f t="shared" si="7"/>
        <v>2503</v>
      </c>
      <c r="P154" s="12">
        <f t="shared" si="8"/>
        <v>0</v>
      </c>
    </row>
    <row r="155" spans="1:16">
      <c r="A155" s="3">
        <v>45339.631574074076</v>
      </c>
      <c r="B155" s="4" t="s">
        <v>7</v>
      </c>
      <c r="C155" s="4" t="s">
        <v>10</v>
      </c>
      <c r="D155" s="4">
        <v>334</v>
      </c>
      <c r="E155" s="5">
        <v>52</v>
      </c>
      <c r="F155"/>
      <c r="G155"/>
      <c r="H155"/>
      <c r="I155"/>
      <c r="J155" s="12" t="str">
        <f t="shared" si="9"/>
        <v>Mangoes</v>
      </c>
      <c r="K155" s="12">
        <f t="shared" si="3"/>
        <v>281</v>
      </c>
      <c r="L155" s="12">
        <f t="shared" si="4"/>
        <v>50</v>
      </c>
      <c r="M155" s="12">
        <f t="shared" si="5"/>
        <v>0</v>
      </c>
      <c r="N155" s="12" t="str">
        <f t="shared" si="6"/>
        <v>Grand Total</v>
      </c>
      <c r="O155" s="29">
        <f t="shared" si="7"/>
        <v>6829</v>
      </c>
      <c r="P155" s="12">
        <f t="shared" si="8"/>
        <v>0</v>
      </c>
    </row>
    <row r="156" spans="1:16">
      <c r="A156" s="3">
        <v>45349.157893518517</v>
      </c>
      <c r="B156" s="4" t="s">
        <v>9</v>
      </c>
      <c r="C156" s="4" t="s">
        <v>11</v>
      </c>
      <c r="D156" s="4">
        <v>417</v>
      </c>
      <c r="E156" s="5">
        <v>29</v>
      </c>
      <c r="F156"/>
      <c r="G156"/>
      <c r="H156"/>
      <c r="I156"/>
      <c r="J156" s="12" t="str">
        <f t="shared" si="9"/>
        <v>FRUITS</v>
      </c>
      <c r="K156" s="12">
        <f t="shared" si="3"/>
        <v>334</v>
      </c>
      <c r="L156" s="12">
        <f t="shared" si="4"/>
        <v>52</v>
      </c>
      <c r="M156" s="12">
        <f t="shared" si="5"/>
        <v>0</v>
      </c>
      <c r="N156" s="12">
        <f t="shared" si="6"/>
        <v>0</v>
      </c>
      <c r="O156" s="29">
        <f t="shared" si="7"/>
        <v>0</v>
      </c>
      <c r="P156" s="12">
        <f t="shared" si="8"/>
        <v>0</v>
      </c>
    </row>
    <row r="157" spans="1:16">
      <c r="A157" s="3">
        <v>45358.684212962966</v>
      </c>
      <c r="B157" s="4" t="s">
        <v>7</v>
      </c>
      <c r="C157" s="4" t="s">
        <v>11</v>
      </c>
      <c r="D157" s="4">
        <v>441</v>
      </c>
      <c r="E157" s="5">
        <v>44</v>
      </c>
      <c r="F157"/>
      <c r="G157"/>
      <c r="H157"/>
      <c r="I157"/>
      <c r="J157" s="12" t="str">
        <f t="shared" si="9"/>
        <v>FRUITS</v>
      </c>
      <c r="K157" s="12">
        <f t="shared" si="3"/>
        <v>417</v>
      </c>
      <c r="L157" s="12">
        <f t="shared" si="4"/>
        <v>29</v>
      </c>
      <c r="M157" s="12">
        <f t="shared" si="5"/>
        <v>0</v>
      </c>
      <c r="N157" s="12">
        <f t="shared" si="6"/>
        <v>0</v>
      </c>
      <c r="O157" s="29">
        <f t="shared" si="7"/>
        <v>0</v>
      </c>
      <c r="P157" s="12">
        <f t="shared" si="8"/>
        <v>0</v>
      </c>
    </row>
    <row r="158" spans="1:16">
      <c r="A158" s="3">
        <v>45368.210520833331</v>
      </c>
      <c r="B158" s="4" t="s">
        <v>9</v>
      </c>
      <c r="C158" s="4" t="s">
        <v>8</v>
      </c>
      <c r="D158" s="4">
        <v>76</v>
      </c>
      <c r="E158" s="5">
        <v>63</v>
      </c>
      <c r="F158"/>
      <c r="G158"/>
      <c r="H158"/>
      <c r="I158"/>
      <c r="J158" s="12" t="str">
        <f t="shared" si="9"/>
        <v>FRUITS</v>
      </c>
      <c r="K158" s="12">
        <f t="shared" si="3"/>
        <v>441</v>
      </c>
      <c r="L158" s="12">
        <f t="shared" si="4"/>
        <v>44</v>
      </c>
      <c r="M158" s="12">
        <f t="shared" si="5"/>
        <v>0</v>
      </c>
      <c r="N158" s="12">
        <f t="shared" si="6"/>
        <v>0</v>
      </c>
      <c r="O158" s="29">
        <f t="shared" si="7"/>
        <v>0</v>
      </c>
      <c r="P158" s="12">
        <f t="shared" si="8"/>
        <v>0</v>
      </c>
    </row>
    <row r="159" spans="1:16">
      <c r="A159" s="3">
        <v>45377.736840277779</v>
      </c>
      <c r="B159" s="4" t="s">
        <v>7</v>
      </c>
      <c r="C159" s="4" t="s">
        <v>10</v>
      </c>
      <c r="D159" s="4">
        <v>441</v>
      </c>
      <c r="E159" s="5">
        <v>79</v>
      </c>
      <c r="F159"/>
      <c r="G159"/>
      <c r="H159"/>
      <c r="I159"/>
      <c r="J159" s="12" t="str">
        <f t="shared" si="9"/>
        <v>Mangoes</v>
      </c>
      <c r="K159" s="12">
        <f t="shared" si="3"/>
        <v>76</v>
      </c>
      <c r="L159" s="12">
        <f t="shared" si="4"/>
        <v>63</v>
      </c>
      <c r="M159" s="12">
        <f t="shared" si="5"/>
        <v>0</v>
      </c>
      <c r="N159" s="12">
        <f t="shared" si="6"/>
        <v>0</v>
      </c>
      <c r="O159" s="29">
        <f t="shared" si="7"/>
        <v>0</v>
      </c>
      <c r="P159" s="12">
        <f t="shared" si="8"/>
        <v>0</v>
      </c>
    </row>
    <row r="160" spans="1:16">
      <c r="A160" s="3">
        <v>45387.263159722221</v>
      </c>
      <c r="B160" s="4" t="s">
        <v>9</v>
      </c>
      <c r="C160" s="4" t="s">
        <v>8</v>
      </c>
      <c r="D160" s="4">
        <v>205</v>
      </c>
      <c r="E160" s="5">
        <v>23</v>
      </c>
      <c r="F160"/>
      <c r="G160"/>
      <c r="H160"/>
      <c r="I160"/>
      <c r="J160" s="12" t="str">
        <f t="shared" si="9"/>
        <v>FRUITS</v>
      </c>
      <c r="K160" s="12">
        <f t="shared" si="3"/>
        <v>441</v>
      </c>
      <c r="L160" s="12">
        <f t="shared" si="4"/>
        <v>79</v>
      </c>
      <c r="M160" s="12">
        <f t="shared" si="5"/>
        <v>0</v>
      </c>
      <c r="N160" s="12">
        <f t="shared" si="6"/>
        <v>0</v>
      </c>
      <c r="O160" s="29">
        <f t="shared" si="7"/>
        <v>0</v>
      </c>
      <c r="P160" s="12">
        <f t="shared" si="8"/>
        <v>0</v>
      </c>
    </row>
    <row r="161" spans="1:16">
      <c r="A161" s="3">
        <v>45396.789479166669</v>
      </c>
      <c r="B161" s="4" t="s">
        <v>7</v>
      </c>
      <c r="C161" s="4" t="s">
        <v>10</v>
      </c>
      <c r="D161" s="4">
        <v>483</v>
      </c>
      <c r="E161" s="5">
        <v>97</v>
      </c>
      <c r="F161"/>
      <c r="G161"/>
      <c r="H161"/>
      <c r="I161"/>
      <c r="J161" s="12" t="str">
        <f t="shared" si="9"/>
        <v>Mangoes</v>
      </c>
      <c r="K161" s="12">
        <f t="shared" si="3"/>
        <v>205</v>
      </c>
      <c r="L161" s="12">
        <f t="shared" si="4"/>
        <v>23</v>
      </c>
      <c r="M161" s="12">
        <f t="shared" si="5"/>
        <v>0</v>
      </c>
      <c r="N161" s="12">
        <f t="shared" si="6"/>
        <v>0</v>
      </c>
      <c r="O161" s="29">
        <f t="shared" si="7"/>
        <v>0</v>
      </c>
      <c r="P161" s="12">
        <f t="shared" si="8"/>
        <v>0</v>
      </c>
    </row>
    <row r="162" spans="1:16">
      <c r="A162" s="3">
        <v>45406.315787037034</v>
      </c>
      <c r="B162" s="4" t="s">
        <v>14</v>
      </c>
      <c r="C162" s="4" t="s">
        <v>8</v>
      </c>
      <c r="D162" s="4">
        <v>467</v>
      </c>
      <c r="E162" s="5">
        <v>97</v>
      </c>
      <c r="F162"/>
      <c r="G162"/>
      <c r="H162"/>
      <c r="I162"/>
      <c r="J162" s="12" t="str">
        <f t="shared" si="9"/>
        <v>FRUITS</v>
      </c>
      <c r="K162" s="12">
        <f t="shared" si="3"/>
        <v>483</v>
      </c>
      <c r="L162" s="12">
        <f t="shared" si="4"/>
        <v>97</v>
      </c>
      <c r="M162" s="12">
        <f t="shared" si="5"/>
        <v>0</v>
      </c>
      <c r="N162" s="12">
        <f t="shared" si="6"/>
        <v>0</v>
      </c>
      <c r="O162" s="29">
        <f t="shared" si="7"/>
        <v>0</v>
      </c>
      <c r="P162" s="12">
        <f t="shared" si="8"/>
        <v>0</v>
      </c>
    </row>
    <row r="163" spans="1:16">
      <c r="A163" s="3">
        <v>45415.842106481483</v>
      </c>
      <c r="B163" s="4" t="s">
        <v>7</v>
      </c>
      <c r="C163" s="4" t="s">
        <v>8</v>
      </c>
      <c r="D163" s="4">
        <v>380</v>
      </c>
      <c r="E163" s="5">
        <v>92</v>
      </c>
      <c r="F163"/>
      <c r="G163"/>
      <c r="H163"/>
      <c r="I163"/>
      <c r="J163" s="12" t="str">
        <f t="shared" si="9"/>
        <v>Mangoes</v>
      </c>
      <c r="K163" s="12">
        <f t="shared" si="3"/>
        <v>467</v>
      </c>
      <c r="L163" s="12">
        <f t="shared" si="4"/>
        <v>97</v>
      </c>
      <c r="M163" s="12">
        <f t="shared" si="5"/>
        <v>0</v>
      </c>
      <c r="N163" s="12">
        <f t="shared" si="6"/>
        <v>0</v>
      </c>
      <c r="O163" s="29">
        <f t="shared" si="7"/>
        <v>0</v>
      </c>
      <c r="P163" s="12">
        <f t="shared" si="8"/>
        <v>0</v>
      </c>
    </row>
    <row r="164" spans="1:16">
      <c r="A164" s="3">
        <v>45425.368425925924</v>
      </c>
      <c r="B164" s="4" t="s">
        <v>9</v>
      </c>
      <c r="C164" s="4" t="s">
        <v>10</v>
      </c>
      <c r="D164" s="4">
        <v>497</v>
      </c>
      <c r="E164" s="5">
        <v>71</v>
      </c>
      <c r="F164"/>
      <c r="G164"/>
      <c r="H164"/>
      <c r="I164"/>
      <c r="J164" s="12" t="str">
        <f t="shared" si="9"/>
        <v>Mangoes</v>
      </c>
      <c r="K164" s="12">
        <f t="shared" si="3"/>
        <v>380</v>
      </c>
      <c r="L164" s="12">
        <f t="shared" si="4"/>
        <v>92</v>
      </c>
      <c r="M164" s="12">
        <f t="shared" si="5"/>
        <v>0</v>
      </c>
      <c r="N164" s="12">
        <f t="shared" si="6"/>
        <v>0</v>
      </c>
      <c r="O164" s="29">
        <f t="shared" si="7"/>
        <v>0</v>
      </c>
      <c r="P164" s="12">
        <f t="shared" si="8"/>
        <v>0</v>
      </c>
    </row>
    <row r="165" spans="1:16">
      <c r="A165" s="3">
        <v>45434.894733796296</v>
      </c>
      <c r="B165" s="4" t="s">
        <v>9</v>
      </c>
      <c r="C165" s="4" t="s">
        <v>8</v>
      </c>
      <c r="D165" s="4">
        <v>409</v>
      </c>
      <c r="E165" s="5">
        <v>81</v>
      </c>
      <c r="F165"/>
      <c r="G165"/>
      <c r="H165"/>
      <c r="I165"/>
      <c r="J165" s="12" t="str">
        <f t="shared" si="9"/>
        <v>FRUITS</v>
      </c>
      <c r="K165" s="12">
        <f t="shared" si="3"/>
        <v>497</v>
      </c>
      <c r="L165" s="12">
        <f t="shared" si="4"/>
        <v>71</v>
      </c>
      <c r="M165" s="12">
        <f t="shared" si="5"/>
        <v>0</v>
      </c>
      <c r="N165" s="12">
        <f t="shared" si="6"/>
        <v>0</v>
      </c>
      <c r="O165" s="29">
        <f t="shared" si="7"/>
        <v>0</v>
      </c>
      <c r="P165" s="12">
        <f t="shared" si="8"/>
        <v>0</v>
      </c>
    </row>
    <row r="166" spans="1:16">
      <c r="A166" s="3">
        <v>45444.421053240738</v>
      </c>
      <c r="B166" s="4" t="s">
        <v>7</v>
      </c>
      <c r="C166" s="4" t="s">
        <v>10</v>
      </c>
      <c r="D166" s="4">
        <v>53</v>
      </c>
      <c r="E166" s="5">
        <v>45</v>
      </c>
      <c r="F166"/>
      <c r="G166"/>
      <c r="H166"/>
      <c r="I166"/>
      <c r="J166" s="12" t="str">
        <f t="shared" si="9"/>
        <v>Mangoes</v>
      </c>
      <c r="K166" s="12">
        <f t="shared" si="3"/>
        <v>409</v>
      </c>
      <c r="L166" s="12">
        <f t="shared" si="4"/>
        <v>81</v>
      </c>
      <c r="M166" s="12">
        <f t="shared" si="5"/>
        <v>0</v>
      </c>
      <c r="N166" s="12">
        <f t="shared" si="6"/>
        <v>0</v>
      </c>
      <c r="O166" s="29">
        <f t="shared" si="7"/>
        <v>0</v>
      </c>
      <c r="P166" s="12">
        <f t="shared" si="8"/>
        <v>0</v>
      </c>
    </row>
    <row r="167" spans="1:16">
      <c r="A167" s="3">
        <v>45453.947372685187</v>
      </c>
      <c r="B167" s="4" t="s">
        <v>7</v>
      </c>
      <c r="C167" s="4" t="s">
        <v>11</v>
      </c>
      <c r="D167" s="4">
        <v>398</v>
      </c>
      <c r="E167" s="5">
        <v>33</v>
      </c>
      <c r="F167"/>
      <c r="G167"/>
      <c r="H167"/>
      <c r="I167"/>
      <c r="J167" s="12" t="str">
        <f t="shared" si="9"/>
        <v>FRUITS</v>
      </c>
      <c r="K167" s="12">
        <f t="shared" si="3"/>
        <v>53</v>
      </c>
      <c r="L167" s="12">
        <f t="shared" si="4"/>
        <v>45</v>
      </c>
      <c r="M167" s="12">
        <f t="shared" si="5"/>
        <v>0</v>
      </c>
      <c r="N167" s="12">
        <f t="shared" si="6"/>
        <v>0</v>
      </c>
      <c r="O167" s="12">
        <f t="shared" si="7"/>
        <v>0</v>
      </c>
      <c r="P167" s="12">
        <f t="shared" si="8"/>
        <v>0</v>
      </c>
    </row>
    <row r="168" spans="1:16">
      <c r="A168" s="3">
        <v>45463.473680555559</v>
      </c>
      <c r="B168" s="4" t="s">
        <v>15</v>
      </c>
      <c r="C168" s="4" t="s">
        <v>10</v>
      </c>
      <c r="D168" s="4">
        <v>347</v>
      </c>
      <c r="E168" s="5">
        <v>35</v>
      </c>
      <c r="F168"/>
      <c r="G168"/>
      <c r="H168"/>
      <c r="I168"/>
      <c r="J168" s="12" t="str">
        <f t="shared" si="9"/>
        <v>FRUITS</v>
      </c>
      <c r="K168" s="12">
        <f t="shared" si="3"/>
        <v>398</v>
      </c>
      <c r="L168" s="12">
        <f t="shared" si="4"/>
        <v>33</v>
      </c>
      <c r="M168" s="12">
        <f t="shared" si="5"/>
        <v>0</v>
      </c>
      <c r="N168" s="12">
        <f t="shared" si="6"/>
        <v>0</v>
      </c>
      <c r="O168" s="12">
        <f t="shared" si="7"/>
        <v>0</v>
      </c>
      <c r="P168" s="12">
        <f t="shared" si="8"/>
        <v>0</v>
      </c>
    </row>
    <row r="169" spans="1:16">
      <c r="A169" s="6">
        <v>45473</v>
      </c>
      <c r="B169" s="7" t="s">
        <v>9</v>
      </c>
      <c r="C169" s="7" t="s">
        <v>11</v>
      </c>
      <c r="D169" s="7">
        <v>319</v>
      </c>
      <c r="E169" s="8">
        <v>45</v>
      </c>
      <c r="F169"/>
      <c r="G169"/>
      <c r="H169"/>
      <c r="I169"/>
      <c r="J169" s="12" t="str">
        <f t="shared" si="9"/>
        <v>FRUITS</v>
      </c>
      <c r="K169" s="12">
        <f t="shared" si="3"/>
        <v>347</v>
      </c>
      <c r="L169" s="12">
        <f t="shared" si="4"/>
        <v>35</v>
      </c>
      <c r="M169" s="12">
        <f t="shared" si="5"/>
        <v>0</v>
      </c>
      <c r="N169" s="12">
        <f t="shared" si="6"/>
        <v>0</v>
      </c>
      <c r="O169" s="12">
        <f t="shared" si="7"/>
        <v>0</v>
      </c>
      <c r="P169" s="12">
        <f t="shared" si="8"/>
        <v>0</v>
      </c>
    </row>
    <row r="170" spans="1:16">
      <c r="A170"/>
      <c r="B170"/>
      <c r="C170"/>
      <c r="D170"/>
      <c r="E170"/>
      <c r="F170"/>
      <c r="G170"/>
      <c r="H170"/>
      <c r="I170"/>
      <c r="J170" s="12" t="str">
        <f t="shared" si="9"/>
        <v>FRUITS</v>
      </c>
      <c r="K170" s="12">
        <f t="shared" si="3"/>
        <v>319</v>
      </c>
      <c r="L170" s="12">
        <f t="shared" si="4"/>
        <v>45</v>
      </c>
      <c r="M170" s="12">
        <f t="shared" si="5"/>
        <v>0</v>
      </c>
      <c r="N170" s="12">
        <f t="shared" si="6"/>
        <v>0</v>
      </c>
      <c r="O170" s="12">
        <f t="shared" si="7"/>
        <v>0</v>
      </c>
      <c r="P170" s="12">
        <f t="shared" si="8"/>
        <v>0</v>
      </c>
    </row>
    <row r="171" spans="1:16">
      <c r="A171" s="34"/>
      <c r="B171" s="35"/>
      <c r="C171" s="35"/>
      <c r="D171" s="35"/>
      <c r="E171" s="35"/>
      <c r="G171"/>
      <c r="H171"/>
      <c r="I171"/>
      <c r="J171"/>
      <c r="K171"/>
      <c r="L171"/>
      <c r="M171"/>
      <c r="N171"/>
      <c r="O171"/>
      <c r="P171"/>
    </row>
    <row r="172" spans="1:16">
      <c r="A172" s="34"/>
      <c r="B172" s="35"/>
      <c r="C172" s="35"/>
      <c r="D172" s="35"/>
      <c r="E172" s="35"/>
      <c r="G172"/>
      <c r="H172"/>
      <c r="I172"/>
      <c r="J172"/>
      <c r="K172"/>
      <c r="L172"/>
      <c r="M172"/>
      <c r="N172"/>
      <c r="O172"/>
      <c r="P172"/>
    </row>
    <row r="173" spans="1:16">
      <c r="A173" s="34"/>
      <c r="B173" s="35"/>
      <c r="C173" s="35"/>
      <c r="D173" s="35"/>
      <c r="E173" s="35"/>
      <c r="G173"/>
      <c r="H173"/>
      <c r="I173"/>
      <c r="J173"/>
      <c r="K173"/>
      <c r="L173"/>
      <c r="M173"/>
      <c r="N173"/>
      <c r="O173"/>
      <c r="P173"/>
    </row>
    <row r="174" spans="1:16">
      <c r="A174" s="34"/>
      <c r="B174" s="35"/>
      <c r="C174" s="35"/>
      <c r="D174" s="35"/>
      <c r="E174" s="35"/>
      <c r="G174"/>
      <c r="H174"/>
      <c r="I174"/>
      <c r="J174"/>
      <c r="K174"/>
      <c r="L174"/>
      <c r="M174"/>
      <c r="N174"/>
      <c r="O174"/>
      <c r="P174"/>
    </row>
    <row r="175" spans="1:16">
      <c r="A175" s="34"/>
      <c r="B175" s="35"/>
      <c r="C175" s="35"/>
      <c r="D175" s="35"/>
      <c r="E175" s="35"/>
      <c r="G175"/>
      <c r="H175"/>
      <c r="I175"/>
      <c r="J175"/>
      <c r="K175"/>
      <c r="L175"/>
      <c r="M175"/>
      <c r="N175"/>
      <c r="O175"/>
      <c r="P175"/>
    </row>
    <row r="176" spans="1:16">
      <c r="A176" s="34"/>
      <c r="B176" s="35"/>
      <c r="C176" s="35"/>
      <c r="D176" s="35"/>
      <c r="E176" s="35"/>
      <c r="G176"/>
      <c r="H176"/>
      <c r="I176"/>
      <c r="J176"/>
      <c r="K176"/>
      <c r="L176"/>
      <c r="M176"/>
      <c r="N176"/>
      <c r="O176"/>
      <c r="P176"/>
    </row>
    <row r="177" spans="1:16">
      <c r="A177" s="34"/>
      <c r="B177" s="35"/>
      <c r="C177" s="35"/>
      <c r="D177" s="35"/>
      <c r="E177" s="35"/>
      <c r="G177"/>
      <c r="H177"/>
      <c r="I177"/>
      <c r="J177"/>
      <c r="K177"/>
      <c r="L177"/>
      <c r="M177"/>
      <c r="N177"/>
      <c r="O177"/>
      <c r="P177"/>
    </row>
    <row r="178" spans="1:16">
      <c r="A178" s="34"/>
      <c r="B178" s="35"/>
      <c r="C178" s="35"/>
      <c r="D178" s="35"/>
      <c r="E178" s="35"/>
      <c r="G178"/>
      <c r="H178"/>
      <c r="I178"/>
      <c r="J178"/>
      <c r="K178"/>
      <c r="L178"/>
      <c r="M178"/>
      <c r="N178"/>
      <c r="O178"/>
      <c r="P178"/>
    </row>
    <row r="179" spans="1:16">
      <c r="A179" s="34"/>
      <c r="B179" s="35"/>
      <c r="C179" s="35"/>
      <c r="D179" s="35"/>
      <c r="E179" s="35"/>
      <c r="G179"/>
      <c r="H179"/>
      <c r="I179"/>
      <c r="J179"/>
      <c r="K179"/>
      <c r="L179"/>
      <c r="M179"/>
      <c r="N179"/>
      <c r="O179"/>
      <c r="P179"/>
    </row>
    <row r="180" spans="1:16">
      <c r="A180" s="34"/>
      <c r="B180" s="35"/>
      <c r="C180" s="35"/>
      <c r="D180" s="35"/>
      <c r="E180" s="35"/>
      <c r="G180"/>
      <c r="H180"/>
      <c r="I180"/>
      <c r="J180"/>
      <c r="K180"/>
      <c r="L180"/>
      <c r="M180"/>
      <c r="N180"/>
      <c r="O180"/>
      <c r="P180"/>
    </row>
    <row r="181" spans="1:16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</row>
    <row r="182" spans="1:16"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</row>
    <row r="183" spans="1:16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</row>
    <row r="184" spans="1:16">
      <c r="A184" s="33"/>
      <c r="B184" s="33"/>
      <c r="C184" s="33"/>
      <c r="D184" s="33"/>
      <c r="E184" s="33"/>
    </row>
    <row r="185" spans="1:16">
      <c r="A185" s="34"/>
      <c r="B185" s="35"/>
      <c r="C185" s="35"/>
      <c r="D185" s="35"/>
      <c r="E185" s="35"/>
    </row>
    <row r="186" spans="1:16">
      <c r="A186" s="34"/>
      <c r="B186" s="35"/>
      <c r="C186" s="35"/>
      <c r="D186" s="35"/>
      <c r="E186" s="35"/>
    </row>
    <row r="187" spans="1:16">
      <c r="A187" s="34"/>
      <c r="B187" s="35"/>
      <c r="C187" s="35"/>
      <c r="D187" s="35"/>
      <c r="E187" s="35"/>
    </row>
    <row r="188" spans="1:16">
      <c r="A188" s="34"/>
      <c r="B188" s="35"/>
      <c r="C188" s="35"/>
      <c r="D188" s="35"/>
      <c r="E188" s="35"/>
    </row>
    <row r="189" spans="1:16">
      <c r="A189" s="34"/>
      <c r="B189" s="35"/>
      <c r="C189" s="35"/>
      <c r="D189" s="35"/>
      <c r="E189" s="35"/>
    </row>
    <row r="190" spans="1:16">
      <c r="A190" s="34"/>
      <c r="B190" s="35"/>
      <c r="C190" s="35"/>
      <c r="D190" s="35"/>
      <c r="E190" s="35"/>
    </row>
    <row r="191" spans="1:16">
      <c r="A191" s="34"/>
      <c r="B191" s="35"/>
      <c r="C191" s="35"/>
      <c r="D191" s="35"/>
      <c r="E191" s="35"/>
    </row>
    <row r="192" spans="1:16">
      <c r="A192" s="34"/>
      <c r="B192" s="35"/>
      <c r="C192" s="35"/>
      <c r="D192" s="35"/>
      <c r="E192" s="35"/>
    </row>
    <row r="193" spans="1:5">
      <c r="A193" s="34"/>
      <c r="B193" s="35"/>
      <c r="C193" s="35"/>
      <c r="D193" s="35"/>
      <c r="E193" s="35"/>
    </row>
    <row r="194" spans="1:5">
      <c r="A194" s="34"/>
      <c r="B194" s="35"/>
      <c r="C194" s="35"/>
      <c r="D194" s="35"/>
      <c r="E194" s="35"/>
    </row>
    <row r="195" spans="1:5">
      <c r="A195" s="34"/>
      <c r="B195" s="35"/>
      <c r="C195" s="35"/>
      <c r="D195" s="35"/>
      <c r="E195" s="35"/>
    </row>
    <row r="196" spans="1:5">
      <c r="A196" s="34"/>
      <c r="B196" s="35"/>
      <c r="C196" s="35"/>
      <c r="D196" s="35"/>
      <c r="E196" s="35"/>
    </row>
    <row r="197" spans="1:5">
      <c r="A197" s="34"/>
      <c r="B197" s="35"/>
      <c r="C197" s="35"/>
      <c r="D197" s="35"/>
      <c r="E197" s="35"/>
    </row>
    <row r="198" spans="1:5">
      <c r="A198" s="34"/>
      <c r="B198" s="35"/>
      <c r="C198" s="35"/>
      <c r="D198" s="35"/>
      <c r="E198" s="35"/>
    </row>
    <row r="199" spans="1:5">
      <c r="A199" s="34"/>
      <c r="B199" s="35"/>
      <c r="C199" s="35"/>
      <c r="D199" s="35"/>
      <c r="E199" s="35"/>
    </row>
    <row r="200" spans="1:5">
      <c r="A200" s="34"/>
      <c r="B200" s="35"/>
      <c r="C200" s="35"/>
      <c r="D200" s="35"/>
      <c r="E200" s="35"/>
    </row>
    <row r="201" spans="1:5">
      <c r="A201" s="34"/>
      <c r="B201" s="35"/>
      <c r="C201" s="35"/>
      <c r="D201" s="35"/>
      <c r="E201" s="35"/>
    </row>
    <row r="202" spans="1:5">
      <c r="A202" s="34"/>
      <c r="B202" s="35"/>
      <c r="C202" s="35"/>
      <c r="D202" s="35"/>
      <c r="E202" s="35"/>
    </row>
    <row r="203" spans="1:5">
      <c r="A203" s="34"/>
      <c r="B203" s="35"/>
      <c r="C203" s="35"/>
      <c r="D203" s="35"/>
      <c r="E203" s="35"/>
    </row>
    <row r="204" spans="1:5">
      <c r="A204" s="34"/>
      <c r="B204" s="35"/>
      <c r="C204" s="35"/>
      <c r="D204" s="35"/>
      <c r="E204" s="35"/>
    </row>
  </sheetData>
  <conditionalFormatting sqref="D28:D47">
    <cfRule type="cellIs" dxfId="1" priority="1" operator="greaterThan">
      <formula>400</formula>
    </cfRule>
  </conditionalFormatting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8F98-7EA7-4C98-8EA6-297F2ECA4676}">
  <dimension ref="A1:G204"/>
  <sheetViews>
    <sheetView showGridLines="0" workbookViewId="0">
      <selection activeCell="C2" sqref="C2"/>
    </sheetView>
  </sheetViews>
  <sheetFormatPr defaultRowHeight="15"/>
  <cols>
    <col min="1" max="1" width="16.85546875" style="38" customWidth="1"/>
    <col min="2" max="2" width="13.42578125" style="38" customWidth="1"/>
    <col min="3" max="3" width="15.5703125" style="38" customWidth="1"/>
    <col min="4" max="6" width="9.140625" style="38"/>
    <col min="7" max="7" width="35.140625" style="38" customWidth="1"/>
    <col min="8" max="8" width="12.28515625" style="38" bestFit="1" customWidth="1"/>
    <col min="9" max="9" width="15.28515625" style="38" customWidth="1"/>
    <col min="10" max="13" width="9.140625" style="38"/>
    <col min="14" max="14" width="12.28515625" style="38" customWidth="1"/>
    <col min="15" max="15" width="14.28515625" style="38" customWidth="1"/>
    <col min="16" max="16384" width="9.140625" style="38"/>
  </cols>
  <sheetData>
    <row r="1" spans="1:7" ht="16.5">
      <c r="G1" s="39" t="s">
        <v>38</v>
      </c>
    </row>
    <row r="2" spans="1:7">
      <c r="A2" s="40"/>
      <c r="B2" s="41"/>
    </row>
    <row r="3" spans="1:7">
      <c r="A3" s="42"/>
      <c r="B3" s="42"/>
      <c r="C3" s="42"/>
      <c r="D3" s="42"/>
      <c r="E3" s="42"/>
    </row>
    <row r="4" spans="1:7">
      <c r="A4" s="43"/>
      <c r="B4" s="44" t="s">
        <v>3</v>
      </c>
      <c r="C4" s="44" t="s">
        <v>13</v>
      </c>
      <c r="D4" s="45"/>
      <c r="E4" s="45"/>
    </row>
    <row r="5" spans="1:7">
      <c r="A5" s="43"/>
      <c r="B5" s="44" t="s">
        <v>14</v>
      </c>
      <c r="C5" s="46">
        <v>467</v>
      </c>
      <c r="D5" s="45"/>
      <c r="E5" s="45"/>
    </row>
    <row r="6" spans="1:7">
      <c r="A6" s="43"/>
      <c r="B6" s="44" t="s">
        <v>15</v>
      </c>
      <c r="C6" s="46">
        <v>347</v>
      </c>
      <c r="D6" s="45"/>
      <c r="E6" s="45"/>
    </row>
    <row r="7" spans="1:7">
      <c r="A7" s="43"/>
      <c r="B7" s="44" t="s">
        <v>9</v>
      </c>
      <c r="C7" s="46">
        <v>2518</v>
      </c>
      <c r="D7" s="45"/>
      <c r="E7" s="45"/>
      <c r="G7" s="47"/>
    </row>
    <row r="8" spans="1:7">
      <c r="A8" s="43"/>
      <c r="B8" s="44" t="s">
        <v>7</v>
      </c>
      <c r="C8" s="46">
        <v>3497</v>
      </c>
      <c r="D8" s="45"/>
      <c r="E8" s="45"/>
    </row>
    <row r="9" spans="1:7">
      <c r="A9" s="43"/>
      <c r="B9" s="44" t="s">
        <v>16</v>
      </c>
      <c r="C9" s="46">
        <v>6829</v>
      </c>
      <c r="D9" s="45"/>
      <c r="E9" s="45"/>
    </row>
    <row r="10" spans="1:7">
      <c r="A10" s="43"/>
      <c r="B10" s="45"/>
      <c r="C10" s="45"/>
      <c r="D10" s="45"/>
      <c r="E10" s="45"/>
    </row>
    <row r="11" spans="1:7">
      <c r="A11" s="43"/>
      <c r="B11" s="45"/>
      <c r="C11" s="45"/>
      <c r="D11" s="45"/>
      <c r="E11" s="45"/>
    </row>
    <row r="12" spans="1:7">
      <c r="A12" s="43"/>
      <c r="B12" s="45"/>
      <c r="C12" s="45"/>
      <c r="D12" s="45"/>
      <c r="E12" s="45"/>
    </row>
    <row r="13" spans="1:7">
      <c r="A13" s="43"/>
      <c r="B13" s="45"/>
      <c r="C13" s="45"/>
      <c r="D13" s="45"/>
      <c r="E13" s="45"/>
    </row>
    <row r="14" spans="1:7">
      <c r="A14" s="43"/>
      <c r="B14" s="45"/>
      <c r="C14" s="45"/>
      <c r="D14" s="45"/>
      <c r="E14" s="45"/>
    </row>
    <row r="15" spans="1:7">
      <c r="A15" s="43"/>
      <c r="B15" s="45"/>
      <c r="C15" s="45"/>
      <c r="D15" s="45"/>
      <c r="E15" s="45"/>
    </row>
    <row r="16" spans="1:7">
      <c r="A16" s="43"/>
      <c r="B16" s="45"/>
      <c r="C16" s="45"/>
      <c r="D16" s="45"/>
      <c r="E16" s="45"/>
    </row>
    <row r="17" spans="1:5">
      <c r="A17" s="43"/>
      <c r="B17" s="45"/>
      <c r="C17" s="45"/>
      <c r="D17" s="45"/>
      <c r="E17" s="45"/>
    </row>
    <row r="18" spans="1:5">
      <c r="A18" s="43"/>
      <c r="B18" s="45"/>
      <c r="C18" s="45"/>
      <c r="D18" s="45"/>
      <c r="E18" s="45"/>
    </row>
    <row r="19" spans="1:5">
      <c r="A19" s="43"/>
      <c r="B19" s="45"/>
      <c r="C19" s="45"/>
      <c r="D19" s="45"/>
      <c r="E19" s="45"/>
    </row>
    <row r="20" spans="1:5">
      <c r="A20" s="43"/>
      <c r="B20" s="44"/>
      <c r="C20" s="44"/>
      <c r="D20" s="45"/>
      <c r="E20" s="45"/>
    </row>
    <row r="21" spans="1:5">
      <c r="A21" s="44" t="s">
        <v>4</v>
      </c>
      <c r="B21" s="44" t="s">
        <v>13</v>
      </c>
      <c r="C21" s="44"/>
      <c r="D21" s="45"/>
      <c r="E21" s="45"/>
    </row>
    <row r="22" spans="1:5">
      <c r="A22" s="44" t="s">
        <v>11</v>
      </c>
      <c r="B22" s="46">
        <v>1805</v>
      </c>
      <c r="C22" s="44"/>
      <c r="D22" s="45"/>
      <c r="E22" s="45"/>
    </row>
    <row r="23" spans="1:5">
      <c r="A23" s="44" t="s">
        <v>8</v>
      </c>
      <c r="B23" s="46">
        <v>2521</v>
      </c>
      <c r="C23" s="44"/>
      <c r="D23" s="45"/>
      <c r="E23" s="45"/>
    </row>
    <row r="24" spans="1:5">
      <c r="A24" s="44" t="s">
        <v>10</v>
      </c>
      <c r="B24" s="46">
        <v>2503</v>
      </c>
      <c r="C24" s="44"/>
    </row>
    <row r="25" spans="1:5">
      <c r="A25" s="44" t="s">
        <v>16</v>
      </c>
      <c r="B25" s="46">
        <v>6829</v>
      </c>
    </row>
    <row r="26" spans="1:5">
      <c r="A26" s="47"/>
    </row>
    <row r="27" spans="1:5">
      <c r="A27" s="42"/>
      <c r="B27" s="42"/>
      <c r="C27" s="42"/>
      <c r="D27" s="42"/>
      <c r="E27" s="42"/>
    </row>
    <row r="28" spans="1:5">
      <c r="A28" s="43"/>
      <c r="B28" s="45"/>
      <c r="C28" s="45"/>
      <c r="D28" s="45"/>
      <c r="E28" s="45"/>
    </row>
    <row r="29" spans="1:5">
      <c r="A29" s="43"/>
      <c r="B29" s="45"/>
      <c r="C29" s="45"/>
      <c r="D29" s="45"/>
      <c r="E29" s="45"/>
    </row>
    <row r="30" spans="1:5">
      <c r="A30" s="43"/>
      <c r="B30" s="45"/>
      <c r="C30" s="45"/>
      <c r="D30" s="45"/>
      <c r="E30" s="45"/>
    </row>
    <row r="31" spans="1:5">
      <c r="A31" s="43"/>
      <c r="B31" s="45"/>
      <c r="C31" s="45"/>
      <c r="D31" s="45"/>
      <c r="E31" s="45"/>
    </row>
    <row r="32" spans="1:5">
      <c r="A32" s="43"/>
      <c r="B32" s="45"/>
      <c r="C32" s="45"/>
      <c r="D32" s="45"/>
      <c r="E32" s="45"/>
    </row>
    <row r="33" spans="1:5">
      <c r="A33" s="43"/>
      <c r="B33" s="45"/>
      <c r="C33" s="45"/>
      <c r="D33" s="45"/>
      <c r="E33" s="45"/>
    </row>
    <row r="34" spans="1:5">
      <c r="A34" s="43"/>
      <c r="B34" s="45"/>
      <c r="C34" s="45"/>
      <c r="D34" s="45"/>
      <c r="E34" s="45"/>
    </row>
    <row r="35" spans="1:5">
      <c r="A35" s="43"/>
      <c r="B35" s="45"/>
      <c r="C35" s="45"/>
      <c r="D35" s="45"/>
      <c r="E35" s="45"/>
    </row>
    <row r="36" spans="1:5">
      <c r="A36" s="43"/>
      <c r="B36" s="45"/>
      <c r="C36" s="45"/>
      <c r="D36" s="45"/>
      <c r="E36" s="45"/>
    </row>
    <row r="37" spans="1:5">
      <c r="A37" s="43"/>
      <c r="B37" s="45"/>
      <c r="C37" s="45"/>
      <c r="D37" s="45"/>
      <c r="E37" s="45"/>
    </row>
    <row r="38" spans="1:5">
      <c r="A38" s="43"/>
      <c r="B38" s="45"/>
      <c r="C38" s="45"/>
      <c r="D38" s="45"/>
      <c r="E38" s="45"/>
    </row>
    <row r="39" spans="1:5">
      <c r="A39" s="43"/>
      <c r="B39" s="45"/>
      <c r="C39" s="45"/>
      <c r="D39" s="45"/>
      <c r="E39" s="45"/>
    </row>
    <row r="40" spans="1:5">
      <c r="A40" s="43"/>
      <c r="B40" s="45"/>
      <c r="C40" s="45"/>
      <c r="D40" s="45"/>
      <c r="E40" s="45"/>
    </row>
    <row r="41" spans="1:5">
      <c r="A41" s="43"/>
      <c r="B41" s="45"/>
      <c r="C41" s="45"/>
      <c r="D41" s="45"/>
      <c r="E41" s="45"/>
    </row>
    <row r="42" spans="1:5">
      <c r="A42" s="43"/>
      <c r="B42" s="45"/>
      <c r="C42" s="45"/>
      <c r="D42" s="45"/>
      <c r="E42" s="45"/>
    </row>
    <row r="43" spans="1:5">
      <c r="A43" s="43"/>
      <c r="B43" s="45"/>
      <c r="C43" s="45"/>
      <c r="D43" s="45"/>
      <c r="E43" s="45"/>
    </row>
    <row r="44" spans="1:5">
      <c r="A44" s="43"/>
      <c r="B44" s="45"/>
      <c r="C44" s="45"/>
      <c r="D44" s="45"/>
      <c r="E44" s="45"/>
    </row>
    <row r="45" spans="1:5">
      <c r="A45" s="43"/>
      <c r="B45" s="45"/>
      <c r="C45" s="45"/>
      <c r="D45" s="45"/>
      <c r="E45" s="45"/>
    </row>
    <row r="46" spans="1:5">
      <c r="A46" s="43"/>
      <c r="B46" s="45"/>
      <c r="C46" s="45"/>
      <c r="D46" s="45"/>
      <c r="E46" s="45"/>
    </row>
    <row r="47" spans="1:5">
      <c r="A47" s="43"/>
      <c r="B47" s="45"/>
      <c r="C47" s="45"/>
      <c r="D47" s="45"/>
      <c r="E47" s="45"/>
    </row>
    <row r="49" spans="1:6">
      <c r="A49" s="40"/>
      <c r="B49" s="48"/>
    </row>
    <row r="51" spans="1:6">
      <c r="A51" s="42"/>
      <c r="B51" s="42"/>
      <c r="C51" s="42"/>
      <c r="D51" s="42"/>
      <c r="E51" s="42"/>
      <c r="F51" s="49"/>
    </row>
    <row r="52" spans="1:6">
      <c r="A52" s="43"/>
      <c r="B52" s="45"/>
      <c r="C52" s="45"/>
      <c r="D52" s="45"/>
      <c r="E52" s="45"/>
    </row>
    <row r="53" spans="1:6">
      <c r="A53" s="43"/>
      <c r="B53" s="45"/>
      <c r="C53" s="45"/>
      <c r="D53" s="45"/>
      <c r="E53" s="45"/>
    </row>
    <row r="54" spans="1:6">
      <c r="A54" s="43"/>
      <c r="B54" s="45"/>
      <c r="C54" s="45"/>
      <c r="D54" s="45"/>
      <c r="E54" s="45"/>
    </row>
    <row r="55" spans="1:6">
      <c r="A55" s="43"/>
      <c r="B55" s="45"/>
      <c r="C55" s="45"/>
      <c r="D55" s="45"/>
      <c r="E55" s="45"/>
    </row>
    <row r="56" spans="1:6">
      <c r="A56" s="43"/>
      <c r="B56" s="45"/>
      <c r="C56" s="45"/>
      <c r="D56" s="45"/>
      <c r="E56" s="45"/>
    </row>
    <row r="57" spans="1:6">
      <c r="A57" s="43"/>
      <c r="B57" s="45"/>
      <c r="C57" s="45"/>
      <c r="D57" s="45"/>
      <c r="E57" s="45"/>
    </row>
    <row r="58" spans="1:6">
      <c r="A58" s="43"/>
      <c r="B58" s="45"/>
      <c r="C58" s="45"/>
      <c r="D58" s="45"/>
      <c r="E58" s="45"/>
    </row>
    <row r="59" spans="1:6">
      <c r="A59" s="43"/>
      <c r="B59" s="45"/>
      <c r="C59" s="45"/>
      <c r="D59" s="45"/>
      <c r="E59" s="45"/>
    </row>
    <row r="60" spans="1:6">
      <c r="A60" s="43"/>
      <c r="B60" s="45"/>
      <c r="C60" s="45"/>
      <c r="D60" s="45"/>
      <c r="E60" s="45"/>
    </row>
    <row r="61" spans="1:6">
      <c r="A61" s="43"/>
      <c r="B61" s="45"/>
      <c r="C61" s="45"/>
      <c r="D61" s="45"/>
      <c r="E61" s="45"/>
    </row>
    <row r="62" spans="1:6">
      <c r="A62" s="43"/>
      <c r="B62" s="45"/>
      <c r="C62" s="45"/>
      <c r="D62" s="45"/>
      <c r="E62" s="45"/>
    </row>
    <row r="63" spans="1:6">
      <c r="A63" s="43"/>
      <c r="B63" s="45"/>
      <c r="C63" s="45"/>
      <c r="D63" s="45"/>
      <c r="E63" s="45"/>
    </row>
    <row r="64" spans="1:6">
      <c r="A64" s="43"/>
      <c r="B64" s="45"/>
      <c r="C64" s="45"/>
      <c r="D64" s="45"/>
      <c r="E64" s="45"/>
    </row>
    <row r="65" spans="1:5">
      <c r="A65" s="43"/>
      <c r="B65" s="45"/>
      <c r="C65" s="45"/>
      <c r="D65" s="45"/>
      <c r="E65" s="45"/>
    </row>
    <row r="66" spans="1:5">
      <c r="A66" s="43"/>
      <c r="B66" s="45"/>
      <c r="C66" s="45"/>
      <c r="D66" s="45"/>
      <c r="E66" s="45"/>
    </row>
    <row r="67" spans="1:5">
      <c r="A67" s="43"/>
      <c r="B67" s="45"/>
      <c r="C67" s="45"/>
      <c r="D67" s="45"/>
      <c r="E67" s="45"/>
    </row>
    <row r="68" spans="1:5">
      <c r="A68" s="43"/>
      <c r="B68" s="45"/>
      <c r="C68" s="45"/>
      <c r="D68" s="45"/>
      <c r="E68" s="45"/>
    </row>
    <row r="69" spans="1:5">
      <c r="A69" s="43"/>
      <c r="B69" s="45"/>
      <c r="C69" s="45"/>
      <c r="D69" s="45"/>
      <c r="E69" s="45"/>
    </row>
    <row r="70" spans="1:5">
      <c r="A70" s="43"/>
      <c r="B70" s="45"/>
      <c r="C70" s="45"/>
      <c r="D70" s="45"/>
      <c r="E70" s="45"/>
    </row>
    <row r="71" spans="1:5">
      <c r="A71" s="43"/>
      <c r="B71" s="45"/>
      <c r="C71" s="45"/>
      <c r="D71" s="45"/>
      <c r="E71" s="45"/>
    </row>
    <row r="73" spans="1:5">
      <c r="A73" s="40"/>
      <c r="B73" s="48"/>
    </row>
    <row r="75" spans="1:5">
      <c r="A75" s="42"/>
      <c r="B75" s="42"/>
      <c r="C75" s="42"/>
      <c r="D75" s="42"/>
      <c r="E75" s="42"/>
    </row>
    <row r="76" spans="1:5">
      <c r="A76" s="43"/>
      <c r="B76" s="45"/>
      <c r="C76" s="45"/>
      <c r="D76" s="45"/>
      <c r="E76" s="45"/>
    </row>
    <row r="77" spans="1:5">
      <c r="A77" s="43"/>
      <c r="B77" s="45"/>
      <c r="C77" s="45"/>
      <c r="D77" s="45"/>
      <c r="E77" s="45"/>
    </row>
    <row r="78" spans="1:5">
      <c r="A78" s="43"/>
      <c r="B78" s="45"/>
      <c r="C78" s="45"/>
      <c r="D78" s="45"/>
      <c r="E78" s="45"/>
    </row>
    <row r="79" spans="1:5">
      <c r="A79" s="43"/>
      <c r="B79" s="45"/>
      <c r="C79" s="45"/>
      <c r="D79" s="45"/>
      <c r="E79" s="45"/>
    </row>
    <row r="80" spans="1:5">
      <c r="A80" s="43"/>
      <c r="B80" s="45"/>
      <c r="C80" s="45"/>
      <c r="D80" s="45"/>
      <c r="E80" s="45"/>
    </row>
    <row r="81" spans="1:5">
      <c r="A81" s="43"/>
      <c r="B81" s="45"/>
      <c r="C81" s="45"/>
      <c r="D81" s="45"/>
      <c r="E81" s="45"/>
    </row>
    <row r="82" spans="1:5">
      <c r="A82" s="43"/>
      <c r="B82" s="45"/>
      <c r="C82" s="45"/>
      <c r="D82" s="45"/>
      <c r="E82" s="45"/>
    </row>
    <row r="83" spans="1:5">
      <c r="A83" s="43"/>
      <c r="B83" s="45"/>
      <c r="C83" s="45"/>
      <c r="D83" s="45"/>
      <c r="E83" s="45"/>
    </row>
    <row r="84" spans="1:5">
      <c r="A84" s="43"/>
      <c r="B84" s="45"/>
      <c r="C84" s="45"/>
      <c r="D84" s="45"/>
      <c r="E84" s="45"/>
    </row>
    <row r="85" spans="1:5">
      <c r="A85" s="43"/>
      <c r="B85" s="45"/>
      <c r="C85" s="45"/>
      <c r="D85" s="45"/>
      <c r="E85" s="45"/>
    </row>
    <row r="86" spans="1:5">
      <c r="A86" s="43"/>
      <c r="B86" s="45"/>
      <c r="C86" s="45"/>
      <c r="D86" s="45"/>
      <c r="E86" s="45"/>
    </row>
    <row r="87" spans="1:5">
      <c r="A87" s="43"/>
      <c r="B87" s="45"/>
      <c r="C87" s="45"/>
      <c r="D87" s="45"/>
      <c r="E87" s="45"/>
    </row>
    <row r="88" spans="1:5">
      <c r="A88" s="43"/>
      <c r="B88" s="45"/>
      <c r="C88" s="45"/>
      <c r="D88" s="45"/>
      <c r="E88" s="45"/>
    </row>
    <row r="89" spans="1:5">
      <c r="A89" s="43"/>
      <c r="B89" s="45"/>
      <c r="C89" s="45"/>
      <c r="D89" s="45"/>
      <c r="E89" s="45"/>
    </row>
    <row r="90" spans="1:5">
      <c r="A90" s="43"/>
      <c r="B90" s="45"/>
      <c r="C90" s="45"/>
      <c r="D90" s="45"/>
      <c r="E90" s="45"/>
    </row>
    <row r="91" spans="1:5">
      <c r="A91" s="43"/>
      <c r="B91" s="45"/>
      <c r="C91" s="45"/>
      <c r="D91" s="45"/>
      <c r="E91" s="45"/>
    </row>
    <row r="92" spans="1:5">
      <c r="A92" s="43"/>
      <c r="B92" s="45"/>
      <c r="C92" s="45"/>
      <c r="D92" s="45"/>
      <c r="E92" s="45"/>
    </row>
    <row r="93" spans="1:5">
      <c r="A93" s="43"/>
      <c r="B93" s="45"/>
      <c r="C93" s="45"/>
      <c r="D93" s="45"/>
      <c r="E93" s="45"/>
    </row>
    <row r="94" spans="1:5">
      <c r="A94" s="43"/>
      <c r="B94" s="45"/>
      <c r="C94" s="45"/>
      <c r="D94" s="45"/>
      <c r="E94" s="45"/>
    </row>
    <row r="95" spans="1:5">
      <c r="A95" s="43"/>
      <c r="B95" s="45"/>
      <c r="C95" s="45"/>
      <c r="D95" s="45"/>
      <c r="E95" s="45"/>
    </row>
    <row r="97" spans="1:5">
      <c r="A97" s="47"/>
      <c r="B97" s="50"/>
    </row>
    <row r="98" spans="1:5">
      <c r="B98" s="51"/>
    </row>
    <row r="99" spans="1:5">
      <c r="A99" s="42"/>
      <c r="B99" s="42"/>
      <c r="C99" s="42"/>
      <c r="D99" s="42"/>
      <c r="E99" s="42"/>
    </row>
    <row r="100" spans="1:5">
      <c r="A100" s="43"/>
      <c r="B100" s="45"/>
      <c r="C100" s="45"/>
      <c r="D100" s="45"/>
      <c r="E100" s="45"/>
    </row>
    <row r="101" spans="1:5">
      <c r="A101" s="43"/>
      <c r="B101" s="45"/>
      <c r="C101" s="45"/>
      <c r="D101" s="45"/>
      <c r="E101" s="45"/>
    </row>
    <row r="102" spans="1:5">
      <c r="A102" s="43"/>
      <c r="B102" s="45"/>
      <c r="C102" s="45"/>
      <c r="D102" s="45"/>
      <c r="E102" s="45"/>
    </row>
    <row r="103" spans="1:5">
      <c r="A103" s="43"/>
      <c r="B103" s="45"/>
      <c r="C103" s="45"/>
      <c r="D103" s="45"/>
      <c r="E103" s="45"/>
    </row>
    <row r="104" spans="1:5">
      <c r="A104" s="43"/>
      <c r="B104" s="45"/>
      <c r="C104" s="45"/>
      <c r="D104" s="45"/>
      <c r="E104" s="45"/>
    </row>
    <row r="105" spans="1:5">
      <c r="A105" s="43"/>
      <c r="B105" s="45"/>
      <c r="C105" s="45"/>
      <c r="D105" s="45"/>
      <c r="E105" s="45"/>
    </row>
    <row r="106" spans="1:5">
      <c r="A106" s="43"/>
      <c r="B106" s="45"/>
      <c r="C106" s="45"/>
      <c r="D106" s="45"/>
      <c r="E106" s="45"/>
    </row>
    <row r="107" spans="1:5">
      <c r="A107" s="43"/>
      <c r="B107" s="45"/>
      <c r="C107" s="45"/>
      <c r="D107" s="45"/>
      <c r="E107" s="45"/>
    </row>
    <row r="108" spans="1:5">
      <c r="A108" s="43"/>
      <c r="B108" s="45"/>
      <c r="C108" s="45"/>
      <c r="D108" s="45"/>
      <c r="E108" s="45"/>
    </row>
    <row r="109" spans="1:5">
      <c r="A109" s="43"/>
      <c r="B109" s="45"/>
      <c r="C109" s="45"/>
      <c r="D109" s="45"/>
      <c r="E109" s="45"/>
    </row>
    <row r="110" spans="1:5">
      <c r="A110" s="43"/>
      <c r="B110" s="45"/>
      <c r="C110" s="45"/>
      <c r="D110" s="45"/>
      <c r="E110" s="45"/>
    </row>
    <row r="111" spans="1:5">
      <c r="A111" s="43"/>
      <c r="B111" s="45"/>
      <c r="C111" s="45"/>
      <c r="D111" s="45"/>
      <c r="E111" s="45"/>
    </row>
    <row r="112" spans="1:5">
      <c r="A112" s="43"/>
      <c r="B112" s="45"/>
      <c r="C112" s="45"/>
      <c r="D112" s="45"/>
      <c r="E112" s="45"/>
    </row>
    <row r="113" spans="1:7">
      <c r="A113" s="43"/>
      <c r="B113" s="45"/>
      <c r="C113" s="45"/>
      <c r="D113" s="45"/>
      <c r="E113" s="45"/>
    </row>
    <row r="114" spans="1:7">
      <c r="A114" s="43"/>
      <c r="B114" s="45"/>
      <c r="C114" s="45"/>
      <c r="D114" s="45"/>
      <c r="E114" s="45"/>
    </row>
    <row r="115" spans="1:7">
      <c r="A115" s="43"/>
      <c r="B115" s="45"/>
      <c r="C115" s="45"/>
      <c r="D115" s="45"/>
      <c r="E115" s="45"/>
    </row>
    <row r="116" spans="1:7">
      <c r="A116" s="43"/>
      <c r="B116" s="45"/>
      <c r="C116" s="45"/>
      <c r="D116" s="45"/>
      <c r="E116" s="45"/>
    </row>
    <row r="117" spans="1:7">
      <c r="A117" s="43"/>
      <c r="B117" s="45"/>
      <c r="C117" s="45"/>
      <c r="D117" s="45"/>
      <c r="E117" s="45"/>
    </row>
    <row r="118" spans="1:7">
      <c r="A118" s="43"/>
      <c r="B118" s="45"/>
      <c r="C118" s="45"/>
      <c r="D118" s="45"/>
      <c r="E118" s="45"/>
    </row>
    <row r="119" spans="1:7">
      <c r="A119" s="43"/>
      <c r="B119" s="45"/>
      <c r="C119" s="45"/>
      <c r="D119" s="45"/>
      <c r="E119" s="45"/>
    </row>
    <row r="121" spans="1:7">
      <c r="G121" s="52"/>
    </row>
    <row r="122" spans="1:7" ht="16.5">
      <c r="A122" s="48"/>
      <c r="G122" s="53"/>
    </row>
    <row r="123" spans="1:7">
      <c r="A123" s="41"/>
      <c r="B123" s="48"/>
    </row>
    <row r="124" spans="1:7">
      <c r="A124" s="48"/>
      <c r="B124" s="48"/>
    </row>
    <row r="125" spans="1:7">
      <c r="A125" s="48"/>
      <c r="B125" s="48"/>
    </row>
    <row r="126" spans="1:7">
      <c r="B126" s="48"/>
    </row>
    <row r="158" spans="1:5">
      <c r="A158" s="40"/>
      <c r="B158" s="48"/>
    </row>
    <row r="160" spans="1:5">
      <c r="A160" s="42"/>
      <c r="B160" s="42"/>
      <c r="C160" s="42"/>
      <c r="D160" s="42"/>
      <c r="E160" s="42"/>
    </row>
    <row r="161" spans="1:5">
      <c r="A161" s="43"/>
      <c r="B161" s="45"/>
      <c r="C161" s="45"/>
      <c r="D161" s="45"/>
      <c r="E161" s="45"/>
    </row>
    <row r="162" spans="1:5">
      <c r="A162" s="43"/>
      <c r="B162" s="45"/>
      <c r="C162" s="45"/>
      <c r="D162" s="45"/>
      <c r="E162" s="45"/>
    </row>
    <row r="163" spans="1:5">
      <c r="A163" s="43"/>
      <c r="B163" s="45"/>
      <c r="C163" s="45"/>
      <c r="D163" s="45"/>
      <c r="E163" s="45"/>
    </row>
    <row r="164" spans="1:5">
      <c r="A164" s="43"/>
      <c r="B164" s="45"/>
      <c r="C164" s="45"/>
      <c r="D164" s="45"/>
      <c r="E164" s="45"/>
    </row>
    <row r="165" spans="1:5">
      <c r="A165" s="43"/>
      <c r="B165" s="45"/>
      <c r="C165" s="45"/>
      <c r="D165" s="45"/>
      <c r="E165" s="45"/>
    </row>
    <row r="166" spans="1:5">
      <c r="A166" s="43"/>
      <c r="B166" s="45"/>
      <c r="C166" s="45"/>
      <c r="D166" s="45"/>
      <c r="E166" s="45"/>
    </row>
    <row r="167" spans="1:5">
      <c r="A167" s="43"/>
      <c r="B167" s="45"/>
      <c r="C167" s="45"/>
      <c r="D167" s="45"/>
      <c r="E167" s="45"/>
    </row>
    <row r="168" spans="1:5">
      <c r="A168" s="43"/>
      <c r="B168" s="45"/>
      <c r="C168" s="45"/>
      <c r="D168" s="45"/>
      <c r="E168" s="45"/>
    </row>
    <row r="169" spans="1:5">
      <c r="A169" s="43"/>
      <c r="B169" s="45"/>
      <c r="C169" s="45"/>
      <c r="D169" s="45"/>
      <c r="E169" s="45"/>
    </row>
    <row r="170" spans="1:5">
      <c r="A170" s="43"/>
      <c r="B170" s="45"/>
      <c r="C170" s="45"/>
      <c r="D170" s="45"/>
      <c r="E170" s="45"/>
    </row>
    <row r="171" spans="1:5">
      <c r="A171" s="43"/>
      <c r="B171" s="45"/>
      <c r="C171" s="45"/>
      <c r="D171" s="45"/>
      <c r="E171" s="45"/>
    </row>
    <row r="172" spans="1:5">
      <c r="A172" s="43"/>
      <c r="B172" s="45"/>
      <c r="C172" s="45"/>
      <c r="D172" s="45"/>
      <c r="E172" s="45"/>
    </row>
    <row r="173" spans="1:5">
      <c r="A173" s="43"/>
      <c r="B173" s="45"/>
      <c r="C173" s="45"/>
      <c r="D173" s="45"/>
      <c r="E173" s="45"/>
    </row>
    <row r="174" spans="1:5">
      <c r="A174" s="43"/>
      <c r="B174" s="45"/>
      <c r="C174" s="45"/>
      <c r="D174" s="45"/>
      <c r="E174" s="45"/>
    </row>
    <row r="175" spans="1:5">
      <c r="A175" s="43"/>
      <c r="B175" s="45"/>
      <c r="C175" s="45"/>
      <c r="D175" s="45"/>
      <c r="E175" s="45"/>
    </row>
    <row r="176" spans="1:5">
      <c r="A176" s="43"/>
      <c r="B176" s="45"/>
      <c r="C176" s="45"/>
      <c r="D176" s="45"/>
      <c r="E176" s="45"/>
    </row>
    <row r="177" spans="1:5">
      <c r="A177" s="43"/>
      <c r="B177" s="45"/>
      <c r="C177" s="45"/>
      <c r="D177" s="45"/>
      <c r="E177" s="45"/>
    </row>
    <row r="178" spans="1:5">
      <c r="A178" s="43"/>
      <c r="B178" s="45"/>
      <c r="C178" s="45"/>
      <c r="D178" s="45"/>
      <c r="E178" s="45"/>
    </row>
    <row r="179" spans="1:5">
      <c r="A179" s="43"/>
      <c r="B179" s="45"/>
      <c r="C179" s="45"/>
      <c r="D179" s="45"/>
      <c r="E179" s="45"/>
    </row>
    <row r="180" spans="1:5">
      <c r="A180" s="43"/>
      <c r="B180" s="45"/>
      <c r="C180" s="45"/>
      <c r="D180" s="45"/>
      <c r="E180" s="45"/>
    </row>
    <row r="182" spans="1:5">
      <c r="B182" s="48"/>
    </row>
    <row r="184" spans="1:5">
      <c r="A184" s="42"/>
      <c r="B184" s="42"/>
      <c r="C184" s="42"/>
      <c r="D184" s="42"/>
      <c r="E184" s="42"/>
    </row>
    <row r="185" spans="1:5">
      <c r="A185" s="43"/>
      <c r="B185" s="45"/>
      <c r="C185" s="45"/>
      <c r="D185" s="45"/>
      <c r="E185" s="45"/>
    </row>
    <row r="186" spans="1:5">
      <c r="A186" s="43"/>
      <c r="B186" s="45"/>
      <c r="C186" s="45"/>
      <c r="D186" s="45"/>
      <c r="E186" s="45"/>
    </row>
    <row r="187" spans="1:5">
      <c r="A187" s="43"/>
      <c r="B187" s="45"/>
      <c r="C187" s="45"/>
      <c r="D187" s="45"/>
      <c r="E187" s="45"/>
    </row>
    <row r="188" spans="1:5">
      <c r="A188" s="43"/>
      <c r="B188" s="45"/>
      <c r="C188" s="45"/>
      <c r="D188" s="45"/>
      <c r="E188" s="45"/>
    </row>
    <row r="189" spans="1:5">
      <c r="A189" s="43"/>
      <c r="B189" s="45"/>
      <c r="C189" s="45"/>
      <c r="D189" s="45"/>
      <c r="E189" s="45"/>
    </row>
    <row r="190" spans="1:5">
      <c r="A190" s="43"/>
      <c r="B190" s="45"/>
      <c r="C190" s="45"/>
      <c r="D190" s="45"/>
      <c r="E190" s="45"/>
    </row>
    <row r="191" spans="1:5">
      <c r="A191" s="43"/>
      <c r="B191" s="45"/>
      <c r="C191" s="45"/>
      <c r="D191" s="45"/>
      <c r="E191" s="45"/>
    </row>
    <row r="192" spans="1:5">
      <c r="A192" s="43"/>
      <c r="B192" s="45"/>
      <c r="C192" s="45"/>
      <c r="D192" s="45"/>
      <c r="E192" s="45"/>
    </row>
    <row r="193" spans="1:5">
      <c r="A193" s="43"/>
      <c r="B193" s="45"/>
      <c r="C193" s="45"/>
      <c r="D193" s="45"/>
      <c r="E193" s="45"/>
    </row>
    <row r="194" spans="1:5">
      <c r="A194" s="43"/>
      <c r="B194" s="45"/>
      <c r="C194" s="45"/>
      <c r="D194" s="45"/>
      <c r="E194" s="45"/>
    </row>
    <row r="195" spans="1:5">
      <c r="A195" s="43"/>
      <c r="B195" s="45"/>
      <c r="C195" s="45"/>
      <c r="D195" s="45"/>
      <c r="E195" s="45"/>
    </row>
    <row r="196" spans="1:5">
      <c r="A196" s="43"/>
      <c r="B196" s="45"/>
      <c r="C196" s="45"/>
      <c r="D196" s="45"/>
      <c r="E196" s="45"/>
    </row>
    <row r="197" spans="1:5">
      <c r="A197" s="43"/>
      <c r="B197" s="45"/>
      <c r="C197" s="45"/>
      <c r="D197" s="45"/>
      <c r="E197" s="45"/>
    </row>
    <row r="198" spans="1:5">
      <c r="A198" s="43"/>
      <c r="B198" s="45"/>
      <c r="C198" s="45"/>
      <c r="D198" s="45"/>
      <c r="E198" s="45"/>
    </row>
    <row r="199" spans="1:5">
      <c r="A199" s="43"/>
      <c r="B199" s="45"/>
      <c r="C199" s="45"/>
      <c r="D199" s="45"/>
      <c r="E199" s="45"/>
    </row>
    <row r="200" spans="1:5">
      <c r="A200" s="43"/>
      <c r="B200" s="45"/>
      <c r="C200" s="45"/>
      <c r="D200" s="45"/>
      <c r="E200" s="45"/>
    </row>
    <row r="201" spans="1:5">
      <c r="A201" s="43"/>
      <c r="B201" s="45"/>
      <c r="C201" s="45"/>
      <c r="D201" s="45"/>
      <c r="E201" s="45"/>
    </row>
    <row r="202" spans="1:5">
      <c r="A202" s="43"/>
      <c r="B202" s="45"/>
      <c r="C202" s="45"/>
      <c r="D202" s="45"/>
      <c r="E202" s="45"/>
    </row>
    <row r="203" spans="1:5">
      <c r="A203" s="43"/>
      <c r="B203" s="45"/>
      <c r="C203" s="45"/>
      <c r="D203" s="45"/>
      <c r="E203" s="45"/>
    </row>
    <row r="204" spans="1:5">
      <c r="A204" s="43"/>
      <c r="B204" s="45"/>
      <c r="C204" s="45"/>
      <c r="D204" s="45"/>
      <c r="E204" s="45"/>
    </row>
  </sheetData>
  <conditionalFormatting sqref="D28:D47">
    <cfRule type="cellIs" dxfId="0" priority="1" operator="greaterThan">
      <formula>400</formula>
    </cfRule>
  </conditionalFormatting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2025-11-22T06:33:25Z</dcterms:created>
  <dcterms:modified xsi:type="dcterms:W3CDTF">2025-11-23T13:16:25Z</dcterms:modified>
  <cp:category/>
  <cp:contentStatus/>
</cp:coreProperties>
</file>